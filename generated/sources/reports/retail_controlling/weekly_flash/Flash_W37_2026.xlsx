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Summary" sheetId="2" r:id="rId2"/>
    <sheet name="Stores" sheetId="3" r:id="rId3"/>
    <sheet name="Country" sheetId="4" r:id="rId4"/>
    <sheet name="Daily" sheetId="5" r:id="rId5"/>
    <sheet name="Top styles" sheetId="6" r:id="rId6"/>
    <sheet name="FX" sheetId="7" r:id="rId7"/>
  </sheets>
  <calcPr calcId="124519" fullCalcOnLoad="1"/>
</workbook>
</file>

<file path=xl/sharedStrings.xml><?xml version="1.0" encoding="utf-8"?>
<sst xmlns="http://schemas.openxmlformats.org/spreadsheetml/2006/main" count="493" uniqueCount="205">
  <si>
    <t>MONCLER  |  Retail Controlling</t>
  </si>
  <si>
    <t>WEEKLY SALES FLASH - WEEK 37 / 2026</t>
  </si>
  <si>
    <t>Fiscal week 37: Mon 07/09/2026 - Sun 13/09/2026   |   LY comparable: wk 37 2025 (08/09 - 14/09/2025)</t>
  </si>
  <si>
    <t>Version 1.0 - issued 15/09/2026 - distribution: ExCom, Regional MDs, Country Managers, Merchandising</t>
  </si>
  <si>
    <t>Definitions</t>
  </si>
  <si>
    <t>Net sales = gross sales - discounts - returns (returns booked on the processing date), excluding VAT/sales taxes.</t>
  </si>
  <si>
    <t>Reported EUR at average September 2026 rates (month of the week's Thursday); LY at average September 2025 rates. See sheet FX.</t>
  </si>
  <si>
    <t>LFL = stores trading at least 5 days in both CY week and LY week; growth at constant FX (LY restated at CY rates).</t>
  </si>
  <si>
    <t>Budget comparison at budget FX rates (BI standard). Retail DOS only - e-commerce and wholesale excluded.</t>
  </si>
  <si>
    <t>Traffic from door counters (Xovis); shop-in-shops use department-store feed when available. Conversion = receipts / visitors.</t>
  </si>
  <si>
    <t>Comments of the week</t>
  </si>
  <si>
    <t>- BHS01: heatwave Southern California, outerwear not moving (8-12/09).</t>
  </si>
  <si>
    <t>- TOR01: TIFF from 10/09, good traffic.</t>
  </si>
  <si>
    <t>- COU01 closed for the season from 13/09 -&gt; out of LFL until reopening.</t>
  </si>
  <si>
    <t>Confidential - Internal use only. Source: SAP BW / POS (Xstore), store door counters. Retail Controlling.</t>
  </si>
  <si>
    <t>Weekly flash W37 2026 - Summary by region (EUR k)</t>
  </si>
  <si>
    <t>07/09 - 13/09/2026  |  v1.0</t>
  </si>
  <si>
    <t>Region</t>
  </si>
  <si>
    <t>Net Sales
Wk (EUR k)</t>
  </si>
  <si>
    <t>LY Wk
(EUR k)</t>
  </si>
  <si>
    <t>Δ% rep.</t>
  </si>
  <si>
    <t>Δ% LFL
(const. FX)</t>
  </si>
  <si>
    <t>Budget Wk
(EUR k, bud FX)</t>
  </si>
  <si>
    <t>vs Bud %</t>
  </si>
  <si>
    <t>Units</t>
  </si>
  <si>
    <t>Returns
units</t>
  </si>
  <si>
    <t>Traffic</t>
  </si>
  <si>
    <t>Conv. %</t>
  </si>
  <si>
    <t>MTD (EUR k)</t>
  </si>
  <si>
    <t>MTD Δ%
LY cFX</t>
  </si>
  <si>
    <t>EMEA</t>
  </si>
  <si>
    <t>AMERICAS</t>
  </si>
  <si>
    <t>APAC</t>
  </si>
  <si>
    <t>TOTAL RETAIL</t>
  </si>
  <si>
    <t>MTD = 01/09 to 13/09, EUR at the same rates as the week, LY = same days -364.</t>
  </si>
  <si>
    <t>Store detail W37 2026</t>
  </si>
  <si>
    <t>Plant</t>
  </si>
  <si>
    <t>Store</t>
  </si>
  <si>
    <t>Country</t>
  </si>
  <si>
    <t>Ccy</t>
  </si>
  <si>
    <t>Net Sales LC</t>
  </si>
  <si>
    <t>Net Sales EUR</t>
  </si>
  <si>
    <t>LY EUR</t>
  </si>
  <si>
    <t>LFL</t>
  </si>
  <si>
    <t>Δ% LFL cFX</t>
  </si>
  <si>
    <t>Budget EUR (bud FX)</t>
  </si>
  <si>
    <t>Ret. units</t>
  </si>
  <si>
    <t>Ret. %</t>
  </si>
  <si>
    <t>UPT</t>
  </si>
  <si>
    <t>ATV EUR</t>
  </si>
  <si>
    <t>Days open</t>
  </si>
  <si>
    <t>1001</t>
  </si>
  <si>
    <t>Milano Montenapoleone</t>
  </si>
  <si>
    <t>Italy</t>
  </si>
  <si>
    <t>EUR</t>
  </si>
  <si>
    <t>Y</t>
  </si>
  <si>
    <t>1002</t>
  </si>
  <si>
    <t>Milano Rinascente Duomo</t>
  </si>
  <si>
    <t>1004</t>
  </si>
  <si>
    <t>Roma Via Condotti</t>
  </si>
  <si>
    <t>1006</t>
  </si>
  <si>
    <t>Venezia San Marco</t>
  </si>
  <si>
    <t>1011</t>
  </si>
  <si>
    <t>Courmayeur</t>
  </si>
  <si>
    <t>1012</t>
  </si>
  <si>
    <t>Cortina d'Ampezzo</t>
  </si>
  <si>
    <t>1101</t>
  </si>
  <si>
    <t>Paris Saint-Honoré</t>
  </si>
  <si>
    <t>France</t>
  </si>
  <si>
    <t>1102</t>
  </si>
  <si>
    <t>Paris Galeries Lafayette Haussmann</t>
  </si>
  <si>
    <t>1105</t>
  </si>
  <si>
    <t>Cannes La Croisette</t>
  </si>
  <si>
    <t>1201</t>
  </si>
  <si>
    <t>Genève Rue du Rhône</t>
  </si>
  <si>
    <t>Switzerland</t>
  </si>
  <si>
    <t>CHF</t>
  </si>
  <si>
    <t>1202</t>
  </si>
  <si>
    <t>Zürich Bahnhofstrasse</t>
  </si>
  <si>
    <t>1205</t>
  </si>
  <si>
    <t>St. Moritz Via Serlas</t>
  </si>
  <si>
    <t>1301</t>
  </si>
  <si>
    <t>London New Bond Street</t>
  </si>
  <si>
    <t>United Kingdom</t>
  </si>
  <si>
    <t>GBP</t>
  </si>
  <si>
    <t>1302</t>
  </si>
  <si>
    <t>London Harrods</t>
  </si>
  <si>
    <t>1401</t>
  </si>
  <si>
    <t>München Maximilianstraße</t>
  </si>
  <si>
    <t>Germany</t>
  </si>
  <si>
    <t>1402</t>
  </si>
  <si>
    <t>Berlin KaDeWe</t>
  </si>
  <si>
    <t>1501</t>
  </si>
  <si>
    <t>Madrid Calle Serrano</t>
  </si>
  <si>
    <t>Spain</t>
  </si>
  <si>
    <t>1601</t>
  </si>
  <si>
    <t>Amsterdam P.C. Hooftstraat</t>
  </si>
  <si>
    <t>Netherlands</t>
  </si>
  <si>
    <t>1701</t>
  </si>
  <si>
    <t>København Østergade</t>
  </si>
  <si>
    <t>Denmark</t>
  </si>
  <si>
    <t>DKK</t>
  </si>
  <si>
    <t>1801</t>
  </si>
  <si>
    <t>Dubai Mall Fashion Avenue</t>
  </si>
  <si>
    <t>United Arab Emirates</t>
  </si>
  <si>
    <t>AED</t>
  </si>
  <si>
    <t>2001</t>
  </si>
  <si>
    <t>New York Madison Avenue</t>
  </si>
  <si>
    <t>United States</t>
  </si>
  <si>
    <t>USD</t>
  </si>
  <si>
    <t>2002</t>
  </si>
  <si>
    <t>New York SoHo</t>
  </si>
  <si>
    <t>2003</t>
  </si>
  <si>
    <t>Miami Design District</t>
  </si>
  <si>
    <t>2005</t>
  </si>
  <si>
    <t>Beverly Hills Rodeo Drive</t>
  </si>
  <si>
    <t>2007</t>
  </si>
  <si>
    <t>Aspen</t>
  </si>
  <si>
    <t>2101</t>
  </si>
  <si>
    <t>Toronto Yorkville</t>
  </si>
  <si>
    <t>Canada</t>
  </si>
  <si>
    <t>CAD</t>
  </si>
  <si>
    <t>3001</t>
  </si>
  <si>
    <t>Tokyo Ginza</t>
  </si>
  <si>
    <t>Japan</t>
  </si>
  <si>
    <t>JPY</t>
  </si>
  <si>
    <t>3002</t>
  </si>
  <si>
    <t>Tokyo Omotesando</t>
  </si>
  <si>
    <t>3003</t>
  </si>
  <si>
    <t>Osaka Shinsaibashi</t>
  </si>
  <si>
    <t>3101</t>
  </si>
  <si>
    <t>Seoul Cheongdam Flagship</t>
  </si>
  <si>
    <t>South Korea</t>
  </si>
  <si>
    <t>KRW</t>
  </si>
  <si>
    <t>3102</t>
  </si>
  <si>
    <t>Seoul Hyundai Apgujeong</t>
  </si>
  <si>
    <t>3103</t>
  </si>
  <si>
    <t>Busan Shinsegae Centum City</t>
  </si>
  <si>
    <t>3201</t>
  </si>
  <si>
    <t>Shanghai Plaza 66</t>
  </si>
  <si>
    <t>China</t>
  </si>
  <si>
    <t>CNY</t>
  </si>
  <si>
    <t>3202</t>
  </si>
  <si>
    <t>Beijing SKP</t>
  </si>
  <si>
    <t>3203</t>
  </si>
  <si>
    <t>Chengdu Taikoo Li</t>
  </si>
  <si>
    <t>3301</t>
  </si>
  <si>
    <t>Hong Kong Canton Road</t>
  </si>
  <si>
    <t>Hong Kong SAR</t>
  </si>
  <si>
    <t>HKD</t>
  </si>
  <si>
    <t>3401</t>
  </si>
  <si>
    <t>Taipei 101</t>
  </si>
  <si>
    <t>Taiwan</t>
  </si>
  <si>
    <t>TWD</t>
  </si>
  <si>
    <t>3501</t>
  </si>
  <si>
    <t>Singapore Marina Bay Sands</t>
  </si>
  <si>
    <t>Singapore</t>
  </si>
  <si>
    <t>SGD</t>
  </si>
  <si>
    <t>3601</t>
  </si>
  <si>
    <t>Sydney Castlereagh Street</t>
  </si>
  <si>
    <t>Australia</t>
  </si>
  <si>
    <t>AUD</t>
  </si>
  <si>
    <t>TOTAL</t>
  </si>
  <si>
    <t>Country view W37 2026</t>
  </si>
  <si>
    <t>Net Sales EUR k</t>
  </si>
  <si>
    <t>LY EUR k</t>
  </si>
  <si>
    <t>Daily net sales EUR (current FX) - W37</t>
  </si>
  <si>
    <t>Mon 07/09</t>
  </si>
  <si>
    <t>Tue 08/09</t>
  </si>
  <si>
    <t>Wed 09/09</t>
  </si>
  <si>
    <t>Thu 10/09</t>
  </si>
  <si>
    <t>Fri 11/09</t>
  </si>
  <si>
    <t>Sat 12/09</t>
  </si>
  <si>
    <t>Sun 13/09</t>
  </si>
  <si>
    <t>closed</t>
  </si>
  <si>
    <t>Top 15 styles W37 - net sales EUR (all stores)</t>
  </si>
  <si>
    <t>#</t>
  </si>
  <si>
    <t>Style</t>
  </si>
  <si>
    <t>Category</t>
  </si>
  <si>
    <t>Net sales EUR</t>
  </si>
  <si>
    <t>Units sold</t>
  </si>
  <si>
    <t>Units returned</t>
  </si>
  <si>
    <t>MAIRE</t>
  </si>
  <si>
    <t>Outerwear</t>
  </si>
  <si>
    <t>MAYA</t>
  </si>
  <si>
    <t>HERMINE</t>
  </si>
  <si>
    <t>TIB</t>
  </si>
  <si>
    <t>BADY</t>
  </si>
  <si>
    <t>TRICOT PADDED CARDIGAN</t>
  </si>
  <si>
    <t>Knitwear</t>
  </si>
  <si>
    <t>ARNEB</t>
  </si>
  <si>
    <t>ILVARO</t>
  </si>
  <si>
    <t>MONTGENEVRE</t>
  </si>
  <si>
    <t>LOGO CARDIGAN</t>
  </si>
  <si>
    <t>AMBRINE</t>
  </si>
  <si>
    <t>MONTCLA</t>
  </si>
  <si>
    <t>KARAKORUM</t>
  </si>
  <si>
    <t>LOGO HOODIE</t>
  </si>
  <si>
    <t>Jersey</t>
  </si>
  <si>
    <t>ROSIERE</t>
  </si>
  <si>
    <t>Exchange rates used (local currency per 1 EUR)</t>
  </si>
  <si>
    <t>CY avg Sep-26</t>
  </si>
  <si>
    <t>LY avg Sep-25</t>
  </si>
  <si>
    <t>Budget 2026</t>
  </si>
  <si>
    <t>Source: Treasury, ECB reference rates monthly average. October = month-to-date average at issue date.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</si>
</sst>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+0.0%;[Red]-0.0%;0.0%"/>
    <numFmt numFmtId="166" formatCode="#,##0"/>
    <numFmt numFmtId="167" formatCode="0.0%"/>
    <numFmt numFmtId="168" formatCode="#,##0.000"/>
  </numFmts>
  <fonts count="11">
    <font>
      <sz val="11"/>
      <color theme="1"/>
      <name val="Calibri"/>
      <family val="2"/>
      <scheme val="minor"/>
    </font>
    <font>
      <b/>
      <sz val="10"/>
      <color rgb="FF888888"/>
      <name val="Arial"/>
      <family val="2"/>
    </font>
    <font>
      <b/>
      <sz val="20"/>
      <color rgb="FF1F2A44"/>
      <name val="Arial"/>
      <family val="2"/>
    </font>
    <font>
      <i/>
      <sz val="9"/>
      <color rgb="FF555555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i/>
      <sz val="8"/>
      <color rgb="FF888888"/>
      <name val="Arial"/>
      <family val="2"/>
    </font>
    <font>
      <b/>
      <sz val="14"/>
      <color rgb="FF1F2A44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E7EB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4" fontId="9" fillId="0" borderId="1" xfId="0" applyNumberFormat="1" applyFont="1" applyBorder="1"/>
    <xf numFmtId="165" fontId="9" fillId="0" borderId="1" xfId="0" applyNumberFormat="1" applyFont="1" applyBorder="1"/>
    <xf numFmtId="166" fontId="9" fillId="0" borderId="1" xfId="0" applyNumberFormat="1" applyFont="1" applyBorder="1"/>
    <xf numFmtId="167" fontId="9" fillId="0" borderId="1" xfId="0" applyNumberFormat="1" applyFont="1" applyBorder="1"/>
    <xf numFmtId="0" fontId="10" fillId="3" borderId="1" xfId="0" applyFont="1" applyFill="1" applyBorder="1"/>
    <xf numFmtId="164" fontId="10" fillId="3" borderId="1" xfId="0" applyNumberFormat="1" applyFont="1" applyFill="1" applyBorder="1"/>
    <xf numFmtId="165" fontId="10" fillId="3" borderId="1" xfId="0" applyNumberFormat="1" applyFont="1" applyFill="1" applyBorder="1"/>
    <xf numFmtId="166" fontId="10" fillId="3" borderId="1" xfId="0" applyNumberFormat="1" applyFont="1" applyFill="1" applyBorder="1"/>
    <xf numFmtId="168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Net sales by region, EUR 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CY</c:v>
          </c:tx>
          <c:spPr>
            <a:solidFill>
              <a:srgbClr val="1F2A44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2749.813864135402</c:v>
                </c:pt>
                <c:pt idx="1">
                  <c:v>706.1734960808695</c:v>
                </c:pt>
                <c:pt idx="2">
                  <c:v>3060.964039172597</c:v>
                </c:pt>
              </c:numCache>
            </c:numRef>
          </c:val>
        </c:ser>
        <c:ser>
          <c:idx val="1"/>
          <c:order val="1"/>
          <c:tx>
            <c:v>LY</c:v>
          </c:tx>
          <c:spPr>
            <a:solidFill>
              <a:srgbClr val="A9B4C8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Summary!$C$5:$C$7</c:f>
              <c:numCache>
                <c:formatCode>General</c:formatCode>
                <c:ptCount val="3"/>
                <c:pt idx="0">
                  <c:v>2611.45689589511</c:v>
                </c:pt>
                <c:pt idx="1">
                  <c:v>687.1426018659097</c:v>
                </c:pt>
                <c:pt idx="2">
                  <c:v>2787.9356994167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581025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22"/>
  <sheetViews>
    <sheetView showGridLines="0" tabSelected="1" workbookViewId="0"/>
  </sheetViews>
  <sheetFormatPr defaultRowHeight="15"/>
  <cols>
    <col min="1" max="1" width="3.7109375" customWidth="1"/>
    <col min="2" max="2" width="110.7109375" customWidth="1"/>
  </cols>
  <sheetData>
    <row r="2" spans="2:2">
      <c r="B2" s="1" t="s">
        <v>0</v>
      </c>
    </row>
    <row r="4" spans="2:2">
      <c r="B4" s="2" t="s">
        <v>1</v>
      </c>
    </row>
    <row r="5" spans="2:2">
      <c r="B5" s="3" t="s">
        <v>2</v>
      </c>
    </row>
    <row r="6" spans="2:2">
      <c r="B6" s="3" t="s">
        <v>3</v>
      </c>
    </row>
    <row r="8" spans="2:2">
      <c r="B8" s="4" t="s">
        <v>4</v>
      </c>
    </row>
    <row r="9" spans="2:2">
      <c r="B9" s="5" t="s">
        <v>5</v>
      </c>
    </row>
    <row r="10" spans="2:2">
      <c r="B10" s="5" t="s">
        <v>6</v>
      </c>
    </row>
    <row r="11" spans="2:2">
      <c r="B11" s="5" t="s">
        <v>7</v>
      </c>
    </row>
    <row r="12" spans="2:2">
      <c r="B12" s="5" t="s">
        <v>8</v>
      </c>
    </row>
    <row r="13" spans="2:2">
      <c r="B13" s="5" t="s">
        <v>9</v>
      </c>
    </row>
    <row r="16" spans="2:2">
      <c r="B16" s="4" t="s">
        <v>10</v>
      </c>
    </row>
    <row r="17" spans="2:2">
      <c r="B17" t="s">
        <v>11</v>
      </c>
    </row>
    <row r="18" spans="2:2">
      <c r="B18" t="s">
        <v>12</v>
      </c>
    </row>
    <row r="19" spans="2:2">
      <c r="B19" t="s">
        <v>13</v>
      </c>
    </row>
    <row r="22" spans="2:2">
      <c r="B2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showGridLines="0" workbookViewId="0"/>
  </sheetViews>
  <sheetFormatPr defaultRowHeight="15"/>
  <cols>
    <col min="1" max="1" width="18.7109375" customWidth="1"/>
    <col min="2" max="13" width="11.7109375" customWidth="1"/>
  </cols>
  <sheetData>
    <row r="1" spans="1:13">
      <c r="A1" s="7" t="s">
        <v>15</v>
      </c>
    </row>
    <row r="2" spans="1:13">
      <c r="A2" s="3" t="s">
        <v>16</v>
      </c>
    </row>
    <row r="4" spans="1:13" ht="30" customHeight="1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25</v>
      </c>
      <c r="J4" s="8" t="s">
        <v>26</v>
      </c>
      <c r="K4" s="8" t="s">
        <v>27</v>
      </c>
      <c r="L4" s="8" t="s">
        <v>28</v>
      </c>
      <c r="M4" s="8" t="s">
        <v>29</v>
      </c>
    </row>
    <row r="5" spans="1:13">
      <c r="A5" s="9" t="s">
        <v>30</v>
      </c>
      <c r="B5" s="10">
        <v>2749.813864135402</v>
      </c>
      <c r="C5" s="10">
        <v>2611.45689589511</v>
      </c>
      <c r="D5" s="11">
        <v>0.05298075892340859</v>
      </c>
      <c r="E5" s="11">
        <v>0.05232681758937052</v>
      </c>
      <c r="F5" s="10">
        <v>3136.504430087401</v>
      </c>
      <c r="G5" s="11">
        <v>-0.1185018030014527</v>
      </c>
      <c r="H5" s="12">
        <v>2841</v>
      </c>
      <c r="I5" s="12">
        <v>89</v>
      </c>
      <c r="J5" s="12">
        <v>18414</v>
      </c>
      <c r="K5" s="13">
        <v>0.09655696752470946</v>
      </c>
      <c r="L5" s="10">
        <v>4800.528724643012</v>
      </c>
      <c r="M5" s="11">
        <v>-0.03404354146244248</v>
      </c>
    </row>
    <row r="6" spans="1:13">
      <c r="A6" s="9" t="s">
        <v>31</v>
      </c>
      <c r="B6" s="10">
        <v>706.1734960808695</v>
      </c>
      <c r="C6" s="10">
        <v>687.1426018659097</v>
      </c>
      <c r="D6" s="11">
        <v>0.02769569833580721</v>
      </c>
      <c r="E6" s="11">
        <v>0.0281293813522332</v>
      </c>
      <c r="F6" s="10">
        <v>873.2024524524523</v>
      </c>
      <c r="G6" s="11">
        <v>-0.1174475084952155</v>
      </c>
      <c r="H6" s="12">
        <v>754</v>
      </c>
      <c r="I6" s="12">
        <v>53</v>
      </c>
      <c r="J6" s="12">
        <v>4650</v>
      </c>
      <c r="K6" s="13">
        <v>0.1012903225806452</v>
      </c>
      <c r="L6" s="10">
        <v>1259.515583926304</v>
      </c>
      <c r="M6" s="11">
        <v>0.007318353652968179</v>
      </c>
    </row>
    <row r="7" spans="1:13">
      <c r="A7" s="9" t="s">
        <v>32</v>
      </c>
      <c r="B7" s="10">
        <v>3060.964039172597</v>
      </c>
      <c r="C7" s="10">
        <v>2787.9356994167</v>
      </c>
      <c r="D7" s="11">
        <v>0.09793207921295366</v>
      </c>
      <c r="E7" s="11">
        <v>0.09295841278758112</v>
      </c>
      <c r="F7" s="10">
        <v>3587.937353334978</v>
      </c>
      <c r="G7" s="11">
        <v>-0.08900527570197048</v>
      </c>
      <c r="H7" s="12">
        <v>2745</v>
      </c>
      <c r="I7" s="12">
        <v>40</v>
      </c>
      <c r="J7" s="12">
        <v>18069</v>
      </c>
      <c r="K7" s="13">
        <v>0.09170402346560408</v>
      </c>
      <c r="L7" s="10">
        <v>5470.227039266644</v>
      </c>
      <c r="M7" s="11">
        <v>0.07346600781122614</v>
      </c>
    </row>
    <row r="8" spans="1:13">
      <c r="A8" s="14" t="s">
        <v>33</v>
      </c>
      <c r="B8" s="15">
        <v>6516.951399388869</v>
      </c>
      <c r="C8" s="15">
        <v>6086.53519717772</v>
      </c>
      <c r="D8" s="16">
        <v>0.07071612802152671</v>
      </c>
      <c r="E8" s="16">
        <v>0.06825548098486078</v>
      </c>
      <c r="F8" s="15">
        <v>7597.64423587483</v>
      </c>
      <c r="G8" s="16">
        <v>-0.1044510918433986</v>
      </c>
      <c r="H8" s="17">
        <v>6340</v>
      </c>
      <c r="I8" s="17">
        <v>182</v>
      </c>
      <c r="J8" s="17">
        <v>41133</v>
      </c>
      <c r="K8" s="13">
        <v>0.09496025089344322</v>
      </c>
      <c r="L8" s="15">
        <v>11530.27134783596</v>
      </c>
      <c r="M8" s="16">
        <v>0.01894107828435621</v>
      </c>
    </row>
    <row r="10" spans="1:13">
      <c r="A10" s="6" t="s">
        <v>34</v>
      </c>
    </row>
    <row r="11" spans="1:13">
      <c r="A11" s="6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30.7109375" customWidth="1"/>
    <col min="3" max="3" width="9.7109375" customWidth="1"/>
    <col min="4" max="4" width="16.7109375" customWidth="1"/>
    <col min="5" max="5" width="5.7109375" customWidth="1"/>
    <col min="6" max="8" width="12.7109375" customWidth="1"/>
    <col min="9" max="9" width="8.7109375" customWidth="1"/>
    <col min="10" max="10" width="5.7109375" customWidth="1"/>
    <col min="11" max="11" width="9.7109375" customWidth="1"/>
    <col min="12" max="12" width="12.7109375" customWidth="1"/>
    <col min="13" max="13" width="8.7109375" customWidth="1"/>
    <col min="14" max="16" width="7.7109375" customWidth="1"/>
    <col min="17" max="17" width="8.7109375" customWidth="1"/>
    <col min="18" max="18" width="7.7109375" customWidth="1"/>
    <col min="19" max="19" width="6.7109375" customWidth="1"/>
    <col min="20" max="20" width="8.7109375" customWidth="1"/>
    <col min="21" max="21" width="6.7109375" customWidth="1"/>
  </cols>
  <sheetData>
    <row r="1" spans="1:21">
      <c r="A1" s="7" t="s">
        <v>35</v>
      </c>
    </row>
    <row r="2" spans="1:21" ht="27.75" customHeight="1">
      <c r="A2" s="8" t="s">
        <v>36</v>
      </c>
      <c r="B2" s="8" t="s">
        <v>37</v>
      </c>
      <c r="C2" s="8" t="s">
        <v>17</v>
      </c>
      <c r="D2" s="8" t="s">
        <v>38</v>
      </c>
      <c r="E2" s="8" t="s">
        <v>39</v>
      </c>
      <c r="F2" s="8" t="s">
        <v>40</v>
      </c>
      <c r="G2" s="8" t="s">
        <v>41</v>
      </c>
      <c r="H2" s="8" t="s">
        <v>42</v>
      </c>
      <c r="I2" s="8" t="s">
        <v>20</v>
      </c>
      <c r="J2" s="8" t="s">
        <v>43</v>
      </c>
      <c r="K2" s="8" t="s">
        <v>44</v>
      </c>
      <c r="L2" s="8" t="s">
        <v>45</v>
      </c>
      <c r="M2" s="8" t="s">
        <v>23</v>
      </c>
      <c r="N2" s="8" t="s">
        <v>24</v>
      </c>
      <c r="O2" s="8" t="s">
        <v>46</v>
      </c>
      <c r="P2" s="8" t="s">
        <v>47</v>
      </c>
      <c r="Q2" s="8" t="s">
        <v>26</v>
      </c>
      <c r="R2" s="8" t="s">
        <v>27</v>
      </c>
      <c r="S2" s="8" t="s">
        <v>48</v>
      </c>
      <c r="T2" s="8" t="s">
        <v>49</v>
      </c>
      <c r="U2" s="8" t="s">
        <v>50</v>
      </c>
    </row>
    <row r="3" spans="1:21">
      <c r="A3" s="9" t="s">
        <v>51</v>
      </c>
      <c r="B3" s="9" t="s">
        <v>52</v>
      </c>
      <c r="C3" s="9" t="s">
        <v>30</v>
      </c>
      <c r="D3" s="9" t="s">
        <v>53</v>
      </c>
      <c r="E3" s="9" t="s">
        <v>54</v>
      </c>
      <c r="F3" s="12">
        <v>340415</v>
      </c>
      <c r="G3" s="12">
        <v>340415</v>
      </c>
      <c r="H3" s="12">
        <v>326520</v>
      </c>
      <c r="I3" s="11">
        <v>0.04255482053166726</v>
      </c>
      <c r="J3" s="9" t="s">
        <v>55</v>
      </c>
      <c r="K3" s="11">
        <v>0.04255482053166726</v>
      </c>
      <c r="L3" s="12">
        <v>396410</v>
      </c>
      <c r="M3" s="11">
        <v>-0.1412552660124619</v>
      </c>
      <c r="N3" s="12">
        <v>357</v>
      </c>
      <c r="O3" s="12">
        <v>14</v>
      </c>
      <c r="P3" s="13">
        <v>0.0392156862745098</v>
      </c>
      <c r="Q3" s="12">
        <v>2762</v>
      </c>
      <c r="R3" s="13">
        <v>0.07277335264301231</v>
      </c>
      <c r="S3" s="10">
        <v>1.776119402985075</v>
      </c>
      <c r="T3" s="12">
        <v>1693.606965174129</v>
      </c>
      <c r="U3" s="12">
        <v>7</v>
      </c>
    </row>
    <row r="4" spans="1:21">
      <c r="A4" s="9" t="s">
        <v>56</v>
      </c>
      <c r="B4" s="9" t="s">
        <v>57</v>
      </c>
      <c r="C4" s="9" t="s">
        <v>30</v>
      </c>
      <c r="D4" s="9" t="s">
        <v>53</v>
      </c>
      <c r="E4" s="9" t="s">
        <v>54</v>
      </c>
      <c r="F4" s="12">
        <v>131835</v>
      </c>
      <c r="G4" s="12">
        <v>131835</v>
      </c>
      <c r="H4" s="12">
        <v>136720</v>
      </c>
      <c r="I4" s="11">
        <v>-0.03572995904037446</v>
      </c>
      <c r="J4" s="9" t="s">
        <v>55</v>
      </c>
      <c r="K4" s="11">
        <v>-0.03572995904037446</v>
      </c>
      <c r="L4" s="12">
        <v>140530</v>
      </c>
      <c r="M4" s="11">
        <v>-0.06187290969899661</v>
      </c>
      <c r="N4" s="12">
        <v>130</v>
      </c>
      <c r="O4" s="12">
        <v>5</v>
      </c>
      <c r="P4" s="13">
        <v>0.03846153846153846</v>
      </c>
      <c r="Q4" s="12">
        <v>609</v>
      </c>
      <c r="R4" s="13">
        <v>0.1428571428571428</v>
      </c>
      <c r="S4" s="10">
        <v>1.494252873563218</v>
      </c>
      <c r="T4" s="12">
        <v>1515.344827586207</v>
      </c>
      <c r="U4" s="12">
        <v>7</v>
      </c>
    </row>
    <row r="5" spans="1:21">
      <c r="A5" s="9" t="s">
        <v>58</v>
      </c>
      <c r="B5" s="9" t="s">
        <v>59</v>
      </c>
      <c r="C5" s="9" t="s">
        <v>30</v>
      </c>
      <c r="D5" s="9" t="s">
        <v>53</v>
      </c>
      <c r="E5" s="9" t="s">
        <v>54</v>
      </c>
      <c r="F5" s="12">
        <v>192113</v>
      </c>
      <c r="G5" s="12">
        <v>192113</v>
      </c>
      <c r="H5" s="12">
        <v>182930</v>
      </c>
      <c r="I5" s="11">
        <v>0.05019952987481546</v>
      </c>
      <c r="J5" s="9" t="s">
        <v>55</v>
      </c>
      <c r="K5" s="11">
        <v>0.05019952987481546</v>
      </c>
      <c r="L5" s="12">
        <v>210410</v>
      </c>
      <c r="M5" s="11">
        <v>-0.08695879473409063</v>
      </c>
      <c r="N5" s="12">
        <v>203</v>
      </c>
      <c r="O5" s="12">
        <v>4</v>
      </c>
      <c r="P5" s="13">
        <v>0.01970443349753695</v>
      </c>
      <c r="Q5" s="12">
        <v>1177</v>
      </c>
      <c r="R5" s="13">
        <v>0.1096006796941376</v>
      </c>
      <c r="S5" s="10">
        <v>1.573643410852713</v>
      </c>
      <c r="T5" s="12">
        <v>1489.248062015504</v>
      </c>
      <c r="U5" s="12">
        <v>7</v>
      </c>
    </row>
    <row r="6" spans="1:21">
      <c r="A6" s="9" t="s">
        <v>60</v>
      </c>
      <c r="B6" s="9" t="s">
        <v>61</v>
      </c>
      <c r="C6" s="9" t="s">
        <v>30</v>
      </c>
      <c r="D6" s="9" t="s">
        <v>53</v>
      </c>
      <c r="E6" s="9" t="s">
        <v>54</v>
      </c>
      <c r="F6" s="12">
        <v>164058</v>
      </c>
      <c r="G6" s="12">
        <v>164058</v>
      </c>
      <c r="H6" s="12">
        <v>127750</v>
      </c>
      <c r="I6" s="11">
        <v>0.2842113502935422</v>
      </c>
      <c r="J6" s="9" t="s">
        <v>55</v>
      </c>
      <c r="K6" s="11">
        <v>0.2842113502935422</v>
      </c>
      <c r="L6" s="12">
        <v>157510</v>
      </c>
      <c r="M6" s="11">
        <v>0.0415719636848455</v>
      </c>
      <c r="N6" s="12">
        <v>144</v>
      </c>
      <c r="O6" s="12">
        <v>3</v>
      </c>
      <c r="P6" s="13">
        <v>0.02083333333333333</v>
      </c>
      <c r="Q6" s="12">
        <v>800</v>
      </c>
      <c r="R6" s="13">
        <v>0.1275</v>
      </c>
      <c r="S6" s="10">
        <v>1.411764705882353</v>
      </c>
      <c r="T6" s="12">
        <v>1608.411764705882</v>
      </c>
      <c r="U6" s="12">
        <v>7</v>
      </c>
    </row>
    <row r="7" spans="1:21">
      <c r="A7" s="9" t="s">
        <v>62</v>
      </c>
      <c r="B7" s="9" t="s">
        <v>63</v>
      </c>
      <c r="C7" s="9" t="s">
        <v>30</v>
      </c>
      <c r="D7" s="9" t="s">
        <v>53</v>
      </c>
      <c r="E7" s="9" t="s">
        <v>54</v>
      </c>
      <c r="F7" s="12">
        <v>26599</v>
      </c>
      <c r="G7" s="12">
        <v>26599</v>
      </c>
      <c r="H7" s="12">
        <v>27510</v>
      </c>
      <c r="I7" s="11">
        <v>-0.03311523082515444</v>
      </c>
      <c r="J7" s="9" t="s">
        <v>55</v>
      </c>
      <c r="K7" s="11">
        <v>-0.03311523082515444</v>
      </c>
      <c r="L7" s="12">
        <v>57670</v>
      </c>
      <c r="M7" s="11">
        <v>-0.5387723252991157</v>
      </c>
      <c r="N7" s="12">
        <v>35</v>
      </c>
      <c r="O7" s="12">
        <v>1</v>
      </c>
      <c r="P7" s="13">
        <v>0.02857142857142857</v>
      </c>
      <c r="Q7" s="12">
        <v>292</v>
      </c>
      <c r="R7" s="13">
        <v>0.08904109589041095</v>
      </c>
      <c r="S7" s="10">
        <v>1.346153846153846</v>
      </c>
      <c r="T7" s="12">
        <v>1023.038461538462</v>
      </c>
      <c r="U7" s="12">
        <v>6</v>
      </c>
    </row>
    <row r="8" spans="1:21">
      <c r="A8" s="9" t="s">
        <v>64</v>
      </c>
      <c r="B8" s="9" t="s">
        <v>65</v>
      </c>
      <c r="C8" s="9" t="s">
        <v>30</v>
      </c>
      <c r="D8" s="9" t="s">
        <v>53</v>
      </c>
      <c r="E8" s="9" t="s">
        <v>54</v>
      </c>
      <c r="F8" s="12">
        <v>60800</v>
      </c>
      <c r="G8" s="12">
        <v>60800</v>
      </c>
      <c r="H8" s="12">
        <v>60140</v>
      </c>
      <c r="I8" s="11">
        <v>0.01097439308280679</v>
      </c>
      <c r="J8" s="9" t="s">
        <v>55</v>
      </c>
      <c r="K8" s="11">
        <v>0.01097439308280679</v>
      </c>
      <c r="L8" s="12">
        <v>59190</v>
      </c>
      <c r="M8" s="11">
        <v>0.02720054063186339</v>
      </c>
      <c r="N8" s="12">
        <v>58</v>
      </c>
      <c r="O8" s="12">
        <v>2</v>
      </c>
      <c r="P8" s="13">
        <v>0.03448275862068965</v>
      </c>
      <c r="Q8" s="12">
        <v>343</v>
      </c>
      <c r="R8" s="13">
        <v>0.1311953352769679</v>
      </c>
      <c r="S8" s="10">
        <v>1.288888888888889</v>
      </c>
      <c r="T8" s="12">
        <v>1351.111111111111</v>
      </c>
      <c r="U8" s="12">
        <v>7</v>
      </c>
    </row>
    <row r="9" spans="1:21">
      <c r="A9" s="9" t="s">
        <v>66</v>
      </c>
      <c r="B9" s="9" t="s">
        <v>67</v>
      </c>
      <c r="C9" s="9" t="s">
        <v>30</v>
      </c>
      <c r="D9" s="9" t="s">
        <v>68</v>
      </c>
      <c r="E9" s="9" t="s">
        <v>54</v>
      </c>
      <c r="F9" s="12">
        <v>257346</v>
      </c>
      <c r="G9" s="12">
        <v>257346</v>
      </c>
      <c r="H9" s="12">
        <v>243050</v>
      </c>
      <c r="I9" s="11">
        <v>0.05881917300966877</v>
      </c>
      <c r="J9" s="9" t="s">
        <v>55</v>
      </c>
      <c r="K9" s="11">
        <v>0.05881917300966877</v>
      </c>
      <c r="L9" s="12">
        <v>306790</v>
      </c>
      <c r="M9" s="11">
        <v>-0.1611656181752991</v>
      </c>
      <c r="N9" s="12">
        <v>265</v>
      </c>
      <c r="O9" s="12">
        <v>11</v>
      </c>
      <c r="P9" s="13">
        <v>0.04150943396226415</v>
      </c>
      <c r="Q9" s="12">
        <v>2362</v>
      </c>
      <c r="R9" s="13">
        <v>0.06308213378492802</v>
      </c>
      <c r="S9" s="10">
        <v>1.778523489932886</v>
      </c>
      <c r="T9" s="12">
        <v>1727.154362416107</v>
      </c>
      <c r="U9" s="12">
        <v>6</v>
      </c>
    </row>
    <row r="10" spans="1:21">
      <c r="A10" s="9" t="s">
        <v>69</v>
      </c>
      <c r="B10" s="9" t="s">
        <v>70</v>
      </c>
      <c r="C10" s="9" t="s">
        <v>30</v>
      </c>
      <c r="D10" s="9" t="s">
        <v>68</v>
      </c>
      <c r="E10" s="9" t="s">
        <v>54</v>
      </c>
      <c r="F10" s="12">
        <v>254831</v>
      </c>
      <c r="G10" s="12">
        <v>254831</v>
      </c>
      <c r="H10" s="12">
        <v>212190</v>
      </c>
      <c r="I10" s="11">
        <v>0.2009566897591781</v>
      </c>
      <c r="J10" s="9" t="s">
        <v>55</v>
      </c>
      <c r="K10" s="11">
        <v>0.2009566897591781</v>
      </c>
      <c r="L10" s="12">
        <v>278140</v>
      </c>
      <c r="M10" s="11">
        <v>-0.08380312073056739</v>
      </c>
      <c r="N10" s="12">
        <v>244</v>
      </c>
      <c r="O10" s="12">
        <v>7</v>
      </c>
      <c r="P10" s="13">
        <v>0.02868852459016394</v>
      </c>
      <c r="Q10" s="12">
        <v>1173</v>
      </c>
      <c r="R10" s="13">
        <v>0.1287297527706735</v>
      </c>
      <c r="S10" s="10">
        <v>1.615894039735099</v>
      </c>
      <c r="T10" s="12">
        <v>1687.622516556291</v>
      </c>
      <c r="U10" s="12">
        <v>7</v>
      </c>
    </row>
    <row r="11" spans="1:21">
      <c r="A11" s="9" t="s">
        <v>71</v>
      </c>
      <c r="B11" s="9" t="s">
        <v>72</v>
      </c>
      <c r="C11" s="9" t="s">
        <v>30</v>
      </c>
      <c r="D11" s="9" t="s">
        <v>68</v>
      </c>
      <c r="E11" s="9" t="s">
        <v>54</v>
      </c>
      <c r="F11" s="12">
        <v>43960</v>
      </c>
      <c r="G11" s="12">
        <v>43960</v>
      </c>
      <c r="H11" s="12">
        <v>48100</v>
      </c>
      <c r="I11" s="11">
        <v>-0.08607068607068602</v>
      </c>
      <c r="J11" s="9" t="s">
        <v>55</v>
      </c>
      <c r="K11" s="11">
        <v>-0.08607068607068602</v>
      </c>
      <c r="L11" s="12">
        <v>63410</v>
      </c>
      <c r="M11" s="11">
        <v>-0.3067339536350734</v>
      </c>
      <c r="N11" s="12">
        <v>43</v>
      </c>
      <c r="O11" s="12">
        <v>1</v>
      </c>
      <c r="P11" s="13">
        <v>0.02325581395348837</v>
      </c>
      <c r="Q11" s="12">
        <v>339</v>
      </c>
      <c r="R11" s="13">
        <v>0.1061946902654867</v>
      </c>
      <c r="S11" s="10">
        <v>1.194444444444444</v>
      </c>
      <c r="T11" s="12">
        <v>1221.111111111111</v>
      </c>
      <c r="U11" s="12">
        <v>6</v>
      </c>
    </row>
    <row r="12" spans="1:21">
      <c r="A12" s="9" t="s">
        <v>73</v>
      </c>
      <c r="B12" s="9" t="s">
        <v>74</v>
      </c>
      <c r="C12" s="9" t="s">
        <v>30</v>
      </c>
      <c r="D12" s="9" t="s">
        <v>75</v>
      </c>
      <c r="E12" s="9" t="s">
        <v>76</v>
      </c>
      <c r="F12" s="12">
        <v>58351</v>
      </c>
      <c r="G12" s="12">
        <v>62918.91309036015</v>
      </c>
      <c r="H12" s="12">
        <v>104557.6695689562</v>
      </c>
      <c r="I12" s="11">
        <v>-0.398237227840423</v>
      </c>
      <c r="J12" s="9" t="s">
        <v>55</v>
      </c>
      <c r="K12" s="11">
        <v>-0.400113087282821</v>
      </c>
      <c r="L12" s="12">
        <v>90852.63157894737</v>
      </c>
      <c r="M12" s="11">
        <v>-0.3239271231606998</v>
      </c>
      <c r="N12" s="12">
        <v>66</v>
      </c>
      <c r="O12" s="12">
        <v>4</v>
      </c>
      <c r="P12" s="13">
        <v>0.06060606060606061</v>
      </c>
      <c r="Q12" s="12">
        <v>475</v>
      </c>
      <c r="R12" s="13">
        <v>0.09894736842105263</v>
      </c>
      <c r="S12" s="10">
        <v>1.404255319148936</v>
      </c>
      <c r="T12" s="12">
        <v>1338.700278518301</v>
      </c>
      <c r="U12" s="12">
        <v>6</v>
      </c>
    </row>
    <row r="13" spans="1:21">
      <c r="A13" s="9" t="s">
        <v>77</v>
      </c>
      <c r="B13" s="9" t="s">
        <v>78</v>
      </c>
      <c r="C13" s="9" t="s">
        <v>30</v>
      </c>
      <c r="D13" s="9" t="s">
        <v>75</v>
      </c>
      <c r="E13" s="9" t="s">
        <v>76</v>
      </c>
      <c r="F13" s="12">
        <v>98450</v>
      </c>
      <c r="G13" s="12">
        <v>106156.9980590899</v>
      </c>
      <c r="H13" s="12">
        <v>108298.3983661185</v>
      </c>
      <c r="I13" s="11">
        <v>-0.01977314844296418</v>
      </c>
      <c r="J13" s="9" t="s">
        <v>55</v>
      </c>
      <c r="K13" s="11">
        <v>-0.0228287841191066</v>
      </c>
      <c r="L13" s="12">
        <v>118873.6842105263</v>
      </c>
      <c r="M13" s="11">
        <v>-0.1282090675639778</v>
      </c>
      <c r="N13" s="12">
        <v>111</v>
      </c>
      <c r="O13" s="12">
        <v>6</v>
      </c>
      <c r="P13" s="13">
        <v>0.05405405405405406</v>
      </c>
      <c r="Q13" s="12">
        <v>781</v>
      </c>
      <c r="R13" s="13">
        <v>0.09603072983354674</v>
      </c>
      <c r="S13" s="10">
        <v>1.48</v>
      </c>
      <c r="T13" s="12">
        <v>1415.426640787866</v>
      </c>
      <c r="U13" s="12">
        <v>6</v>
      </c>
    </row>
    <row r="14" spans="1:21">
      <c r="A14" s="9" t="s">
        <v>79</v>
      </c>
      <c r="B14" s="9" t="s">
        <v>80</v>
      </c>
      <c r="C14" s="9" t="s">
        <v>30</v>
      </c>
      <c r="D14" s="9" t="s">
        <v>75</v>
      </c>
      <c r="E14" s="9" t="s">
        <v>76</v>
      </c>
      <c r="F14" s="12">
        <v>38899</v>
      </c>
      <c r="G14" s="12">
        <v>41944.14492128531</v>
      </c>
      <c r="H14" s="12">
        <v>22842.09394818875</v>
      </c>
      <c r="I14" s="11">
        <v>0.8362653186010225</v>
      </c>
      <c r="J14" s="9" t="s">
        <v>55</v>
      </c>
      <c r="K14" s="11">
        <v>0.8305411764705881</v>
      </c>
      <c r="L14" s="12">
        <v>45178.94736842105</v>
      </c>
      <c r="M14" s="11">
        <v>-0.09369291705498606</v>
      </c>
      <c r="N14" s="12">
        <v>42</v>
      </c>
      <c r="O14" s="12">
        <v>2</v>
      </c>
      <c r="P14" s="13">
        <v>0.04761904761904762</v>
      </c>
      <c r="Q14" s="12">
        <v>231</v>
      </c>
      <c r="R14" s="13">
        <v>0.1341991341991342</v>
      </c>
      <c r="S14" s="10">
        <v>1.354838709677419</v>
      </c>
      <c r="T14" s="12">
        <v>1353.036932944687</v>
      </c>
      <c r="U14" s="12">
        <v>7</v>
      </c>
    </row>
    <row r="15" spans="1:21">
      <c r="A15" s="9" t="s">
        <v>81</v>
      </c>
      <c r="B15" s="9" t="s">
        <v>82</v>
      </c>
      <c r="C15" s="9" t="s">
        <v>30</v>
      </c>
      <c r="D15" s="9" t="s">
        <v>83</v>
      </c>
      <c r="E15" s="9" t="s">
        <v>84</v>
      </c>
      <c r="F15" s="12">
        <v>283085</v>
      </c>
      <c r="G15" s="12">
        <v>325609.6158270072</v>
      </c>
      <c r="H15" s="12">
        <v>226011.693224808</v>
      </c>
      <c r="I15" s="11">
        <v>0.4406759720309323</v>
      </c>
      <c r="J15" s="9" t="s">
        <v>55</v>
      </c>
      <c r="K15" s="11">
        <v>0.4358863809282274</v>
      </c>
      <c r="L15" s="12">
        <v>323776.4705882353</v>
      </c>
      <c r="M15" s="11">
        <v>0.02861396751571532</v>
      </c>
      <c r="N15" s="12">
        <v>339</v>
      </c>
      <c r="O15" s="12">
        <v>10</v>
      </c>
      <c r="P15" s="13">
        <v>0.02949852507374631</v>
      </c>
      <c r="Q15" s="12">
        <v>2363</v>
      </c>
      <c r="R15" s="13">
        <v>0.07744392721117224</v>
      </c>
      <c r="S15" s="10">
        <v>1.852459016393443</v>
      </c>
      <c r="T15" s="12">
        <v>1779.287518180367</v>
      </c>
      <c r="U15" s="12">
        <v>7</v>
      </c>
    </row>
    <row r="16" spans="1:21">
      <c r="A16" s="9" t="s">
        <v>85</v>
      </c>
      <c r="B16" s="9" t="s">
        <v>86</v>
      </c>
      <c r="C16" s="9" t="s">
        <v>30</v>
      </c>
      <c r="D16" s="9" t="s">
        <v>83</v>
      </c>
      <c r="E16" s="9" t="s">
        <v>84</v>
      </c>
      <c r="F16" s="12">
        <v>147373</v>
      </c>
      <c r="G16" s="12">
        <v>169511.1571198528</v>
      </c>
      <c r="H16" s="12">
        <v>172669.9529978218</v>
      </c>
      <c r="I16" s="11">
        <v>-0.0182938364384041</v>
      </c>
      <c r="J16" s="9" t="s">
        <v>55</v>
      </c>
      <c r="K16" s="11">
        <v>-0.02155756207674941</v>
      </c>
      <c r="L16" s="12">
        <v>185811.7647058823</v>
      </c>
      <c r="M16" s="11">
        <v>-0.06690515385589457</v>
      </c>
      <c r="N16" s="12">
        <v>197</v>
      </c>
      <c r="O16" s="12">
        <v>8</v>
      </c>
      <c r="P16" s="13">
        <v>0.04060913705583756</v>
      </c>
      <c r="Q16" s="12">
        <v>957</v>
      </c>
      <c r="R16" s="13">
        <v>0.1118077324973877</v>
      </c>
      <c r="S16" s="10">
        <v>1.841121495327103</v>
      </c>
      <c r="T16" s="12">
        <v>1584.216421680867</v>
      </c>
      <c r="U16" s="12">
        <v>7</v>
      </c>
    </row>
    <row r="17" spans="1:21">
      <c r="A17" s="9" t="s">
        <v>87</v>
      </c>
      <c r="B17" s="9" t="s">
        <v>88</v>
      </c>
      <c r="C17" s="9" t="s">
        <v>30</v>
      </c>
      <c r="D17" s="9" t="s">
        <v>89</v>
      </c>
      <c r="E17" s="9" t="s">
        <v>54</v>
      </c>
      <c r="F17" s="12">
        <v>108729</v>
      </c>
      <c r="G17" s="12">
        <v>108729</v>
      </c>
      <c r="H17" s="12">
        <v>134000</v>
      </c>
      <c r="I17" s="11">
        <v>-0.188589552238806</v>
      </c>
      <c r="J17" s="9" t="s">
        <v>55</v>
      </c>
      <c r="K17" s="11">
        <v>-0.188589552238806</v>
      </c>
      <c r="L17" s="12">
        <v>140070</v>
      </c>
      <c r="M17" s="11">
        <v>-0.2237524095095309</v>
      </c>
      <c r="N17" s="12">
        <v>121</v>
      </c>
      <c r="O17" s="12">
        <v>2</v>
      </c>
      <c r="P17" s="13">
        <v>0.01652892561983471</v>
      </c>
      <c r="Q17" s="12">
        <v>784</v>
      </c>
      <c r="R17" s="13">
        <v>0.09566326530612244</v>
      </c>
      <c r="S17" s="10">
        <v>1.613333333333333</v>
      </c>
      <c r="T17" s="12">
        <v>1449.72</v>
      </c>
      <c r="U17" s="12">
        <v>6</v>
      </c>
    </row>
    <row r="18" spans="1:21">
      <c r="A18" s="9" t="s">
        <v>90</v>
      </c>
      <c r="B18" s="9" t="s">
        <v>91</v>
      </c>
      <c r="C18" s="9" t="s">
        <v>30</v>
      </c>
      <c r="D18" s="9" t="s">
        <v>89</v>
      </c>
      <c r="E18" s="9" t="s">
        <v>54</v>
      </c>
      <c r="F18" s="12">
        <v>67728</v>
      </c>
      <c r="G18" s="12">
        <v>67728</v>
      </c>
      <c r="H18" s="12">
        <v>58540</v>
      </c>
      <c r="I18" s="11">
        <v>0.156952511103519</v>
      </c>
      <c r="J18" s="9" t="s">
        <v>55</v>
      </c>
      <c r="K18" s="11">
        <v>0.156952511103519</v>
      </c>
      <c r="L18" s="12">
        <v>79470</v>
      </c>
      <c r="M18" s="11">
        <v>-0.1477538693846735</v>
      </c>
      <c r="N18" s="12">
        <v>71</v>
      </c>
      <c r="O18" s="12">
        <v>0</v>
      </c>
      <c r="P18" s="13">
        <v>0</v>
      </c>
      <c r="Q18" s="12">
        <v>344</v>
      </c>
      <c r="R18" s="13">
        <v>0.1540697674418605</v>
      </c>
      <c r="S18" s="10">
        <v>1.339622641509434</v>
      </c>
      <c r="T18" s="12">
        <v>1277.88679245283</v>
      </c>
      <c r="U18" s="12">
        <v>6</v>
      </c>
    </row>
    <row r="19" spans="1:21">
      <c r="A19" s="9" t="s">
        <v>92</v>
      </c>
      <c r="B19" s="9" t="s">
        <v>93</v>
      </c>
      <c r="C19" s="9" t="s">
        <v>30</v>
      </c>
      <c r="D19" s="9" t="s">
        <v>94</v>
      </c>
      <c r="E19" s="9" t="s">
        <v>54</v>
      </c>
      <c r="F19" s="12">
        <v>133660</v>
      </c>
      <c r="G19" s="12">
        <v>133660</v>
      </c>
      <c r="H19" s="12">
        <v>136660</v>
      </c>
      <c r="I19" s="11">
        <v>-0.02195229035562707</v>
      </c>
      <c r="J19" s="9" t="s">
        <v>55</v>
      </c>
      <c r="K19" s="11">
        <v>-0.02195229035562707</v>
      </c>
      <c r="L19" s="12">
        <v>134090</v>
      </c>
      <c r="M19" s="11">
        <v>-0.003206801402043435</v>
      </c>
      <c r="N19" s="12">
        <v>132</v>
      </c>
      <c r="O19" s="12">
        <v>2</v>
      </c>
      <c r="P19" s="13">
        <v>0.01515151515151515</v>
      </c>
      <c r="Q19" s="12">
        <v>835</v>
      </c>
      <c r="R19" s="13">
        <v>0.1077844311377246</v>
      </c>
      <c r="S19" s="10">
        <v>1.466666666666667</v>
      </c>
      <c r="T19" s="12">
        <v>1485.111111111111</v>
      </c>
      <c r="U19" s="12">
        <v>7</v>
      </c>
    </row>
    <row r="20" spans="1:21">
      <c r="A20" s="9" t="s">
        <v>95</v>
      </c>
      <c r="B20" s="9" t="s">
        <v>96</v>
      </c>
      <c r="C20" s="9" t="s">
        <v>30</v>
      </c>
      <c r="D20" s="9" t="s">
        <v>97</v>
      </c>
      <c r="E20" s="9" t="s">
        <v>54</v>
      </c>
      <c r="F20" s="12">
        <v>94255</v>
      </c>
      <c r="G20" s="12">
        <v>94255</v>
      </c>
      <c r="H20" s="12">
        <v>82350</v>
      </c>
      <c r="I20" s="11">
        <v>0.1445658773527625</v>
      </c>
      <c r="J20" s="9" t="s">
        <v>55</v>
      </c>
      <c r="K20" s="11">
        <v>0.1445658773527625</v>
      </c>
      <c r="L20" s="12">
        <v>111690</v>
      </c>
      <c r="M20" s="11">
        <v>-0.1561017100904288</v>
      </c>
      <c r="N20" s="12">
        <v>96</v>
      </c>
      <c r="O20" s="12">
        <v>1</v>
      </c>
      <c r="P20" s="13">
        <v>0.01041666666666667</v>
      </c>
      <c r="Q20" s="12">
        <v>558</v>
      </c>
      <c r="R20" s="13">
        <v>0.1182795698924731</v>
      </c>
      <c r="S20" s="10">
        <v>1.454545454545455</v>
      </c>
      <c r="T20" s="12">
        <v>1428.106060606061</v>
      </c>
      <c r="U20" s="12">
        <v>7</v>
      </c>
    </row>
    <row r="21" spans="1:21">
      <c r="A21" s="9" t="s">
        <v>98</v>
      </c>
      <c r="B21" s="9" t="s">
        <v>99</v>
      </c>
      <c r="C21" s="9" t="s">
        <v>30</v>
      </c>
      <c r="D21" s="9" t="s">
        <v>100</v>
      </c>
      <c r="E21" s="9" t="s">
        <v>101</v>
      </c>
      <c r="F21" s="12">
        <v>455800</v>
      </c>
      <c r="G21" s="12">
        <v>61076.27164067107</v>
      </c>
      <c r="H21" s="12">
        <v>65260.53259674435</v>
      </c>
      <c r="I21" s="11">
        <v>-0.06411625510212315</v>
      </c>
      <c r="J21" s="9" t="s">
        <v>55</v>
      </c>
      <c r="K21" s="11">
        <v>-0.06348880213683994</v>
      </c>
      <c r="L21" s="12">
        <v>73643.43163538874</v>
      </c>
      <c r="M21" s="11">
        <v>-0.1703537078160836</v>
      </c>
      <c r="N21" s="12">
        <v>58</v>
      </c>
      <c r="O21" s="12">
        <v>0</v>
      </c>
      <c r="P21" s="13">
        <v>0</v>
      </c>
      <c r="Q21" s="12">
        <v>346</v>
      </c>
      <c r="R21" s="13">
        <v>0.115606936416185</v>
      </c>
      <c r="S21" s="10">
        <v>1.45</v>
      </c>
      <c r="T21" s="12">
        <v>1526.906791016777</v>
      </c>
      <c r="U21" s="12">
        <v>6</v>
      </c>
    </row>
    <row r="22" spans="1:21">
      <c r="A22" s="9" t="s">
        <v>102</v>
      </c>
      <c r="B22" s="9" t="s">
        <v>103</v>
      </c>
      <c r="C22" s="9" t="s">
        <v>30</v>
      </c>
      <c r="D22" s="9" t="s">
        <v>104</v>
      </c>
      <c r="E22" s="9" t="s">
        <v>105</v>
      </c>
      <c r="F22" s="12">
        <v>459895</v>
      </c>
      <c r="G22" s="12">
        <v>106267.7634771357</v>
      </c>
      <c r="H22" s="12">
        <v>135356.5551924726</v>
      </c>
      <c r="I22" s="11">
        <v>-0.2149049351468324</v>
      </c>
      <c r="J22" s="9" t="s">
        <v>55</v>
      </c>
      <c r="K22" s="11">
        <v>-0.2125759780840681</v>
      </c>
      <c r="L22" s="12">
        <v>162987.5</v>
      </c>
      <c r="M22" s="11">
        <v>-0.2945900759260679</v>
      </c>
      <c r="N22" s="12">
        <v>129</v>
      </c>
      <c r="O22" s="12">
        <v>6</v>
      </c>
      <c r="P22" s="13">
        <v>0.04651162790697674</v>
      </c>
      <c r="Q22" s="12">
        <v>883</v>
      </c>
      <c r="R22" s="13">
        <v>0.09626274065685164</v>
      </c>
      <c r="S22" s="10">
        <v>1.517647058823529</v>
      </c>
      <c r="T22" s="12">
        <v>1250.208982083949</v>
      </c>
      <c r="U22" s="12">
        <v>7</v>
      </c>
    </row>
    <row r="23" spans="1:21">
      <c r="A23" s="9" t="s">
        <v>106</v>
      </c>
      <c r="B23" s="9" t="s">
        <v>107</v>
      </c>
      <c r="C23" s="9" t="s">
        <v>31</v>
      </c>
      <c r="D23" s="9" t="s">
        <v>108</v>
      </c>
      <c r="E23" s="9" t="s">
        <v>109</v>
      </c>
      <c r="F23" s="12">
        <v>302132.5</v>
      </c>
      <c r="G23" s="12">
        <v>256392.1418873048</v>
      </c>
      <c r="H23" s="12">
        <v>196591.1992510001</v>
      </c>
      <c r="I23" s="11">
        <v>0.3041893170403485</v>
      </c>
      <c r="J23" s="9" t="s">
        <v>55</v>
      </c>
      <c r="K23" s="11">
        <v>0.3080744669336508</v>
      </c>
      <c r="L23" s="12">
        <v>315935.1851851852</v>
      </c>
      <c r="M23" s="11">
        <v>-0.1145272412883561</v>
      </c>
      <c r="N23" s="12">
        <v>282</v>
      </c>
      <c r="O23" s="12">
        <v>25</v>
      </c>
      <c r="P23" s="13">
        <v>0.08865248226950355</v>
      </c>
      <c r="Q23" s="12">
        <v>1915</v>
      </c>
      <c r="R23" s="13">
        <v>0.09190600522193211</v>
      </c>
      <c r="S23" s="10">
        <v>1.602272727272727</v>
      </c>
      <c r="T23" s="12">
        <v>1456.773533450596</v>
      </c>
      <c r="U23" s="12">
        <v>7</v>
      </c>
    </row>
    <row r="24" spans="1:21">
      <c r="A24" s="9" t="s">
        <v>110</v>
      </c>
      <c r="B24" s="9" t="s">
        <v>111</v>
      </c>
      <c r="C24" s="9" t="s">
        <v>31</v>
      </c>
      <c r="D24" s="9" t="s">
        <v>108</v>
      </c>
      <c r="E24" s="9" t="s">
        <v>109</v>
      </c>
      <c r="F24" s="12">
        <v>170242.5</v>
      </c>
      <c r="G24" s="12">
        <v>144469.1955193483</v>
      </c>
      <c r="H24" s="12">
        <v>167673.8445825177</v>
      </c>
      <c r="I24" s="11">
        <v>-0.138391584691968</v>
      </c>
      <c r="J24" s="9" t="s">
        <v>55</v>
      </c>
      <c r="K24" s="11">
        <v>-0.1358248730964466</v>
      </c>
      <c r="L24" s="12">
        <v>182120.3703703704</v>
      </c>
      <c r="M24" s="11">
        <v>-0.1344680461640144</v>
      </c>
      <c r="N24" s="12">
        <v>154</v>
      </c>
      <c r="O24" s="12">
        <v>11</v>
      </c>
      <c r="P24" s="13">
        <v>0.07142857142857142</v>
      </c>
      <c r="Q24" s="12">
        <v>857</v>
      </c>
      <c r="R24" s="13">
        <v>0.1073512252042007</v>
      </c>
      <c r="S24" s="10">
        <v>1.673913043478261</v>
      </c>
      <c r="T24" s="12">
        <v>1570.317342601612</v>
      </c>
      <c r="U24" s="12">
        <v>7</v>
      </c>
    </row>
    <row r="25" spans="1:21">
      <c r="A25" s="9" t="s">
        <v>112</v>
      </c>
      <c r="B25" s="9" t="s">
        <v>113</v>
      </c>
      <c r="C25" s="9" t="s">
        <v>31</v>
      </c>
      <c r="D25" s="9" t="s">
        <v>108</v>
      </c>
      <c r="E25" s="9" t="s">
        <v>109</v>
      </c>
      <c r="F25" s="12">
        <v>70500</v>
      </c>
      <c r="G25" s="12">
        <v>59826.88391038697</v>
      </c>
      <c r="H25" s="12">
        <v>57855.98774363775</v>
      </c>
      <c r="I25" s="11">
        <v>0.03406555213407358</v>
      </c>
      <c r="J25" s="9" t="s">
        <v>55</v>
      </c>
      <c r="K25" s="11">
        <v>0.03714600956233904</v>
      </c>
      <c r="L25" s="12">
        <v>77305.55555555555</v>
      </c>
      <c r="M25" s="11">
        <v>-0.1555716852317642</v>
      </c>
      <c r="N25" s="12">
        <v>64</v>
      </c>
      <c r="O25" s="12">
        <v>2</v>
      </c>
      <c r="P25" s="13">
        <v>0.03125</v>
      </c>
      <c r="Q25" s="12">
        <v>451</v>
      </c>
      <c r="R25" s="13">
        <v>0.09312638580931264</v>
      </c>
      <c r="S25" s="10">
        <v>1.523809523809524</v>
      </c>
      <c r="T25" s="12">
        <v>1424.449616913975</v>
      </c>
      <c r="U25" s="12">
        <v>7</v>
      </c>
    </row>
    <row r="26" spans="1:21">
      <c r="A26" s="9" t="s">
        <v>114</v>
      </c>
      <c r="B26" s="9" t="s">
        <v>115</v>
      </c>
      <c r="C26" s="9" t="s">
        <v>31</v>
      </c>
      <c r="D26" s="9" t="s">
        <v>108</v>
      </c>
      <c r="E26" s="9" t="s">
        <v>109</v>
      </c>
      <c r="F26" s="12">
        <v>91260</v>
      </c>
      <c r="G26" s="12">
        <v>77443.99185336049</v>
      </c>
      <c r="H26" s="12">
        <v>117307.8559877436</v>
      </c>
      <c r="I26" s="11">
        <v>-0.3398226299400454</v>
      </c>
      <c r="J26" s="9" t="s">
        <v>55</v>
      </c>
      <c r="K26" s="11">
        <v>-0.3378559767821513</v>
      </c>
      <c r="L26" s="12">
        <v>121509.2592592593</v>
      </c>
      <c r="M26" s="11">
        <v>-0.3045797454850263</v>
      </c>
      <c r="N26" s="12">
        <v>84</v>
      </c>
      <c r="O26" s="12">
        <v>5</v>
      </c>
      <c r="P26" s="13">
        <v>0.05952380952380952</v>
      </c>
      <c r="Q26" s="12">
        <v>508</v>
      </c>
      <c r="R26" s="13">
        <v>0.1043307086614173</v>
      </c>
      <c r="S26" s="10">
        <v>1.584905660377359</v>
      </c>
      <c r="T26" s="12">
        <v>1461.207393459632</v>
      </c>
      <c r="U26" s="12">
        <v>7</v>
      </c>
    </row>
    <row r="27" spans="1:21">
      <c r="A27" s="9" t="s">
        <v>116</v>
      </c>
      <c r="B27" s="9" t="s">
        <v>117</v>
      </c>
      <c r="C27" s="9" t="s">
        <v>31</v>
      </c>
      <c r="D27" s="9" t="s">
        <v>108</v>
      </c>
      <c r="E27" s="9" t="s">
        <v>109</v>
      </c>
      <c r="F27" s="12">
        <v>12200</v>
      </c>
      <c r="G27" s="12">
        <v>10353.0210454854</v>
      </c>
      <c r="H27" s="12">
        <v>31257.97940250234</v>
      </c>
      <c r="I27" s="11">
        <v>-0.6687878985339468</v>
      </c>
      <c r="J27" s="9" t="s">
        <v>55</v>
      </c>
      <c r="K27" s="11">
        <v>-0.6678012253233492</v>
      </c>
      <c r="L27" s="12">
        <v>30953.7037037037</v>
      </c>
      <c r="M27" s="11">
        <v>-0.6350679030810649</v>
      </c>
      <c r="N27" s="12">
        <v>18</v>
      </c>
      <c r="O27" s="12">
        <v>4</v>
      </c>
      <c r="P27" s="13">
        <v>0.2222222222222222</v>
      </c>
      <c r="Q27" s="12">
        <v>125</v>
      </c>
      <c r="R27" s="13">
        <v>0.08799999999999999</v>
      </c>
      <c r="S27" s="10">
        <v>1.636363636363636</v>
      </c>
      <c r="T27" s="12">
        <v>941.183731407764</v>
      </c>
      <c r="U27" s="12">
        <v>6</v>
      </c>
    </row>
    <row r="28" spans="1:21">
      <c r="A28" s="9" t="s">
        <v>118</v>
      </c>
      <c r="B28" s="9" t="s">
        <v>119</v>
      </c>
      <c r="C28" s="9" t="s">
        <v>31</v>
      </c>
      <c r="D28" s="9" t="s">
        <v>120</v>
      </c>
      <c r="E28" s="9" t="s">
        <v>121</v>
      </c>
      <c r="F28" s="12">
        <v>254840</v>
      </c>
      <c r="G28" s="12">
        <v>157688.2618649836</v>
      </c>
      <c r="H28" s="12">
        <v>116455.7348985082</v>
      </c>
      <c r="I28" s="11">
        <v>0.3540617986946695</v>
      </c>
      <c r="J28" s="9" t="s">
        <v>55</v>
      </c>
      <c r="K28" s="11">
        <v>0.3379183619897626</v>
      </c>
      <c r="L28" s="12">
        <v>145378.3783783784</v>
      </c>
      <c r="M28" s="11">
        <v>0.1844195947202083</v>
      </c>
      <c r="N28" s="12">
        <v>152</v>
      </c>
      <c r="O28" s="12">
        <v>6</v>
      </c>
      <c r="P28" s="13">
        <v>0.03947368421052631</v>
      </c>
      <c r="Q28" s="12">
        <v>794</v>
      </c>
      <c r="R28" s="13">
        <v>0.1221662468513854</v>
      </c>
      <c r="S28" s="10">
        <v>1.56701030927835</v>
      </c>
      <c r="T28" s="12">
        <v>1625.652184175089</v>
      </c>
      <c r="U28" s="12">
        <v>7</v>
      </c>
    </row>
    <row r="29" spans="1:21">
      <c r="A29" s="9" t="s">
        <v>122</v>
      </c>
      <c r="B29" s="9" t="s">
        <v>123</v>
      </c>
      <c r="C29" s="9" t="s">
        <v>32</v>
      </c>
      <c r="D29" s="9" t="s">
        <v>124</v>
      </c>
      <c r="E29" s="9" t="s">
        <v>125</v>
      </c>
      <c r="F29" s="12">
        <v>85798100</v>
      </c>
      <c r="G29" s="12">
        <v>497697.6622773943</v>
      </c>
      <c r="H29" s="12">
        <v>327642.5571091548</v>
      </c>
      <c r="I29" s="11">
        <v>0.519026303141644</v>
      </c>
      <c r="J29" s="9" t="s">
        <v>55</v>
      </c>
      <c r="K29" s="11">
        <v>0.5067894838517062</v>
      </c>
      <c r="L29" s="12">
        <v>502494.5061728395</v>
      </c>
      <c r="M29" s="11">
        <v>0.05397968235264772</v>
      </c>
      <c r="N29" s="12">
        <v>408</v>
      </c>
      <c r="O29" s="12">
        <v>6</v>
      </c>
      <c r="P29" s="13">
        <v>0.01470588235294118</v>
      </c>
      <c r="Q29" s="12">
        <v>3313</v>
      </c>
      <c r="R29" s="13">
        <v>0.07032900694234832</v>
      </c>
      <c r="S29" s="10">
        <v>1.751072961373391</v>
      </c>
      <c r="T29" s="12">
        <v>2136.041469001692</v>
      </c>
      <c r="U29" s="12">
        <v>7</v>
      </c>
    </row>
    <row r="30" spans="1:21">
      <c r="A30" s="9" t="s">
        <v>126</v>
      </c>
      <c r="B30" s="9" t="s">
        <v>127</v>
      </c>
      <c r="C30" s="9" t="s">
        <v>32</v>
      </c>
      <c r="D30" s="9" t="s">
        <v>124</v>
      </c>
      <c r="E30" s="9" t="s">
        <v>125</v>
      </c>
      <c r="F30" s="12">
        <v>36646700</v>
      </c>
      <c r="G30" s="12">
        <v>212580.1960670573</v>
      </c>
      <c r="H30" s="12">
        <v>200356.7524023247</v>
      </c>
      <c r="I30" s="11">
        <v>0.0610083938682906</v>
      </c>
      <c r="J30" s="9" t="s">
        <v>55</v>
      </c>
      <c r="K30" s="11">
        <v>0.05246122917863283</v>
      </c>
      <c r="L30" s="12">
        <v>261940.8024691358</v>
      </c>
      <c r="M30" s="11">
        <v>-0.136388841037262</v>
      </c>
      <c r="N30" s="12">
        <v>179</v>
      </c>
      <c r="O30" s="12">
        <v>1</v>
      </c>
      <c r="P30" s="13">
        <v>0.00558659217877095</v>
      </c>
      <c r="Q30" s="12">
        <v>1231</v>
      </c>
      <c r="R30" s="13">
        <v>0.08773354995938261</v>
      </c>
      <c r="S30" s="10">
        <v>1.657407407407407</v>
      </c>
      <c r="T30" s="12">
        <v>1968.335148769049</v>
      </c>
      <c r="U30" s="12">
        <v>7</v>
      </c>
    </row>
    <row r="31" spans="1:21">
      <c r="A31" s="9" t="s">
        <v>128</v>
      </c>
      <c r="B31" s="9" t="s">
        <v>129</v>
      </c>
      <c r="C31" s="9" t="s">
        <v>32</v>
      </c>
      <c r="D31" s="9" t="s">
        <v>124</v>
      </c>
      <c r="E31" s="9" t="s">
        <v>125</v>
      </c>
      <c r="F31" s="12">
        <v>32911000</v>
      </c>
      <c r="G31" s="12">
        <v>190910.1456000928</v>
      </c>
      <c r="H31" s="12">
        <v>155895.0457448645</v>
      </c>
      <c r="I31" s="11">
        <v>0.2246068801476444</v>
      </c>
      <c r="J31" s="9" t="s">
        <v>55</v>
      </c>
      <c r="K31" s="11">
        <v>0.2147418152290259</v>
      </c>
      <c r="L31" s="12">
        <v>249762.7777777778</v>
      </c>
      <c r="M31" s="11">
        <v>-0.1866081815411513</v>
      </c>
      <c r="N31" s="12">
        <v>182</v>
      </c>
      <c r="O31" s="12">
        <v>3</v>
      </c>
      <c r="P31" s="13">
        <v>0.01648351648351648</v>
      </c>
      <c r="Q31" s="12">
        <v>1206</v>
      </c>
      <c r="R31" s="13">
        <v>0.09950248756218906</v>
      </c>
      <c r="S31" s="10">
        <v>1.516666666666667</v>
      </c>
      <c r="T31" s="12">
        <v>1590.917880000773</v>
      </c>
      <c r="U31" s="12">
        <v>7</v>
      </c>
    </row>
    <row r="32" spans="1:21">
      <c r="A32" s="9" t="s">
        <v>130</v>
      </c>
      <c r="B32" s="9" t="s">
        <v>131</v>
      </c>
      <c r="C32" s="9" t="s">
        <v>32</v>
      </c>
      <c r="D32" s="9" t="s">
        <v>132</v>
      </c>
      <c r="E32" s="9" t="s">
        <v>133</v>
      </c>
      <c r="F32" s="12">
        <v>631760000</v>
      </c>
      <c r="G32" s="12">
        <v>387635.1409392679</v>
      </c>
      <c r="H32" s="12">
        <v>307824.4909523164</v>
      </c>
      <c r="I32" s="11">
        <v>0.2592732298201526</v>
      </c>
      <c r="J32" s="9" t="s">
        <v>55</v>
      </c>
      <c r="K32" s="11">
        <v>0.264050901378579</v>
      </c>
      <c r="L32" s="12">
        <v>428777.1689189189</v>
      </c>
      <c r="M32" s="11">
        <v>-0.004461918818445043</v>
      </c>
      <c r="N32" s="12">
        <v>375</v>
      </c>
      <c r="O32" s="12">
        <v>8</v>
      </c>
      <c r="P32" s="13">
        <v>0.02133333333333333</v>
      </c>
      <c r="Q32" s="12">
        <v>2423</v>
      </c>
      <c r="R32" s="13">
        <v>0.09286009079653322</v>
      </c>
      <c r="S32" s="10">
        <v>1.666666666666667</v>
      </c>
      <c r="T32" s="12">
        <v>1722.822848618968</v>
      </c>
      <c r="U32" s="12">
        <v>7</v>
      </c>
    </row>
    <row r="33" spans="1:21">
      <c r="A33" s="9" t="s">
        <v>134</v>
      </c>
      <c r="B33" s="9" t="s">
        <v>135</v>
      </c>
      <c r="C33" s="9" t="s">
        <v>32</v>
      </c>
      <c r="D33" s="9" t="s">
        <v>132</v>
      </c>
      <c r="E33" s="9" t="s">
        <v>133</v>
      </c>
      <c r="F33" s="12">
        <v>491185000</v>
      </c>
      <c r="G33" s="12">
        <v>301381.1680104063</v>
      </c>
      <c r="H33" s="12">
        <v>246375.3834025203</v>
      </c>
      <c r="I33" s="11">
        <v>0.223260067009289</v>
      </c>
      <c r="J33" s="9" t="s">
        <v>55</v>
      </c>
      <c r="K33" s="11">
        <v>0.2279011049447528</v>
      </c>
      <c r="L33" s="12">
        <v>372250.3648648649</v>
      </c>
      <c r="M33" s="11">
        <v>-0.1084494970999429</v>
      </c>
      <c r="N33" s="12">
        <v>248</v>
      </c>
      <c r="O33" s="12">
        <v>7</v>
      </c>
      <c r="P33" s="13">
        <v>0.0282258064516129</v>
      </c>
      <c r="Q33" s="12">
        <v>1405</v>
      </c>
      <c r="R33" s="13">
        <v>0.1096085409252669</v>
      </c>
      <c r="S33" s="10">
        <v>1.61038961038961</v>
      </c>
      <c r="T33" s="12">
        <v>1957.020571496145</v>
      </c>
      <c r="U33" s="12">
        <v>7</v>
      </c>
    </row>
    <row r="34" spans="1:21">
      <c r="A34" s="9" t="s">
        <v>136</v>
      </c>
      <c r="B34" s="9" t="s">
        <v>137</v>
      </c>
      <c r="C34" s="9" t="s">
        <v>32</v>
      </c>
      <c r="D34" s="9" t="s">
        <v>132</v>
      </c>
      <c r="E34" s="9" t="s">
        <v>133</v>
      </c>
      <c r="F34" s="12">
        <v>198269000</v>
      </c>
      <c r="G34" s="12">
        <v>121653.8428499552</v>
      </c>
      <c r="H34" s="12">
        <v>174615.9815720427</v>
      </c>
      <c r="I34" s="11">
        <v>-0.3033063654613797</v>
      </c>
      <c r="J34" s="9" t="s">
        <v>55</v>
      </c>
      <c r="K34" s="11">
        <v>-0.300663115939473</v>
      </c>
      <c r="L34" s="12">
        <v>182554.4662162162</v>
      </c>
      <c r="M34" s="11">
        <v>-0.26615325948076</v>
      </c>
      <c r="N34" s="12">
        <v>107</v>
      </c>
      <c r="O34" s="12">
        <v>1</v>
      </c>
      <c r="P34" s="13">
        <v>0.009345794392523364</v>
      </c>
      <c r="Q34" s="12">
        <v>664</v>
      </c>
      <c r="R34" s="13">
        <v>0.108433734939759</v>
      </c>
      <c r="S34" s="10">
        <v>1.486111111111111</v>
      </c>
      <c r="T34" s="12">
        <v>1689.636706249378</v>
      </c>
      <c r="U34" s="12">
        <v>7</v>
      </c>
    </row>
    <row r="35" spans="1:21">
      <c r="A35" s="9" t="s">
        <v>138</v>
      </c>
      <c r="B35" s="9" t="s">
        <v>139</v>
      </c>
      <c r="C35" s="9" t="s">
        <v>32</v>
      </c>
      <c r="D35" s="9" t="s">
        <v>140</v>
      </c>
      <c r="E35" s="9" t="s">
        <v>141</v>
      </c>
      <c r="F35" s="12">
        <v>3401570</v>
      </c>
      <c r="G35" s="12">
        <v>417048.1713522063</v>
      </c>
      <c r="H35" s="12">
        <v>379433.5691442969</v>
      </c>
      <c r="I35" s="11">
        <v>0.09913356452023536</v>
      </c>
      <c r="J35" s="9" t="s">
        <v>55</v>
      </c>
      <c r="K35" s="11">
        <v>0.08596558439485347</v>
      </c>
      <c r="L35" s="12">
        <v>460887.1794871795</v>
      </c>
      <c r="M35" s="11">
        <v>-0.05377927742481059</v>
      </c>
      <c r="N35" s="12">
        <v>355</v>
      </c>
      <c r="O35" s="12">
        <v>3</v>
      </c>
      <c r="P35" s="13">
        <v>0.008450704225352112</v>
      </c>
      <c r="Q35" s="12">
        <v>2333</v>
      </c>
      <c r="R35" s="13">
        <v>0.09644234890698672</v>
      </c>
      <c r="S35" s="10">
        <v>1.577777777777778</v>
      </c>
      <c r="T35" s="12">
        <v>1853.547428232028</v>
      </c>
      <c r="U35" s="12">
        <v>7</v>
      </c>
    </row>
    <row r="36" spans="1:21">
      <c r="A36" s="9" t="s">
        <v>142</v>
      </c>
      <c r="B36" s="9" t="s">
        <v>143</v>
      </c>
      <c r="C36" s="9" t="s">
        <v>32</v>
      </c>
      <c r="D36" s="9" t="s">
        <v>140</v>
      </c>
      <c r="E36" s="9" t="s">
        <v>141</v>
      </c>
      <c r="F36" s="12">
        <v>2265970</v>
      </c>
      <c r="G36" s="12">
        <v>277818.3735272121</v>
      </c>
      <c r="H36" s="12">
        <v>275571.7608295378</v>
      </c>
      <c r="I36" s="11">
        <v>0.00815255050412822</v>
      </c>
      <c r="J36" s="9" t="s">
        <v>55</v>
      </c>
      <c r="K36" s="11">
        <v>-0.003925447272407512</v>
      </c>
      <c r="L36" s="12">
        <v>334200</v>
      </c>
      <c r="M36" s="11">
        <v>-0.1307330939557152</v>
      </c>
      <c r="N36" s="12">
        <v>247</v>
      </c>
      <c r="O36" s="12">
        <v>5</v>
      </c>
      <c r="P36" s="13">
        <v>0.02024291497975709</v>
      </c>
      <c r="Q36" s="12">
        <v>1499</v>
      </c>
      <c r="R36" s="13">
        <v>0.09072715143428953</v>
      </c>
      <c r="S36" s="10">
        <v>1.816176470588235</v>
      </c>
      <c r="T36" s="12">
        <v>2042.782158288324</v>
      </c>
      <c r="U36" s="12">
        <v>7</v>
      </c>
    </row>
    <row r="37" spans="1:21">
      <c r="A37" s="9" t="s">
        <v>144</v>
      </c>
      <c r="B37" s="9" t="s">
        <v>145</v>
      </c>
      <c r="C37" s="9" t="s">
        <v>32</v>
      </c>
      <c r="D37" s="9" t="s">
        <v>140</v>
      </c>
      <c r="E37" s="9" t="s">
        <v>141</v>
      </c>
      <c r="F37" s="12">
        <v>1600600</v>
      </c>
      <c r="G37" s="12">
        <v>196240.94258426</v>
      </c>
      <c r="H37" s="12">
        <v>200879.4456827212</v>
      </c>
      <c r="I37" s="11">
        <v>-0.02309097918254632</v>
      </c>
      <c r="J37" s="9" t="s">
        <v>55</v>
      </c>
      <c r="K37" s="11">
        <v>-0.03479466923958274</v>
      </c>
      <c r="L37" s="12">
        <v>263451.2820512821</v>
      </c>
      <c r="M37" s="11">
        <v>-0.2210893854748603</v>
      </c>
      <c r="N37" s="12">
        <v>162</v>
      </c>
      <c r="O37" s="12">
        <v>3</v>
      </c>
      <c r="P37" s="13">
        <v>0.01851851851851852</v>
      </c>
      <c r="Q37" s="12">
        <v>1095</v>
      </c>
      <c r="R37" s="13">
        <v>0.08949771689497717</v>
      </c>
      <c r="S37" s="10">
        <v>1.653061224489796</v>
      </c>
      <c r="T37" s="12">
        <v>2002.458597798572</v>
      </c>
      <c r="U37" s="12">
        <v>7</v>
      </c>
    </row>
    <row r="38" spans="1:21">
      <c r="A38" s="9" t="s">
        <v>146</v>
      </c>
      <c r="B38" s="9" t="s">
        <v>147</v>
      </c>
      <c r="C38" s="9" t="s">
        <v>32</v>
      </c>
      <c r="D38" s="9" t="s">
        <v>148</v>
      </c>
      <c r="E38" s="9" t="s">
        <v>149</v>
      </c>
      <c r="F38" s="12">
        <v>1640500</v>
      </c>
      <c r="G38" s="12">
        <v>179003.9936276542</v>
      </c>
      <c r="H38" s="12">
        <v>183904.7827036471</v>
      </c>
      <c r="I38" s="11">
        <v>-0.02664851345323749</v>
      </c>
      <c r="J38" s="9" t="s">
        <v>55</v>
      </c>
      <c r="K38" s="11">
        <v>-0.02594703716898217</v>
      </c>
      <c r="L38" s="12">
        <v>190979.8816568048</v>
      </c>
      <c r="M38" s="11">
        <v>0.01656780973862593</v>
      </c>
      <c r="N38" s="12">
        <v>190</v>
      </c>
      <c r="O38" s="12">
        <v>1</v>
      </c>
      <c r="P38" s="13">
        <v>0.005263157894736842</v>
      </c>
      <c r="Q38" s="12">
        <v>900</v>
      </c>
      <c r="R38" s="13">
        <v>0.1122222222222222</v>
      </c>
      <c r="S38" s="10">
        <v>1.881188118811881</v>
      </c>
      <c r="T38" s="12">
        <v>1772.316768590636</v>
      </c>
      <c r="U38" s="12">
        <v>7</v>
      </c>
    </row>
    <row r="39" spans="1:21">
      <c r="A39" s="9" t="s">
        <v>150</v>
      </c>
      <c r="B39" s="9" t="s">
        <v>151</v>
      </c>
      <c r="C39" s="9" t="s">
        <v>32</v>
      </c>
      <c r="D39" s="9" t="s">
        <v>152</v>
      </c>
      <c r="E39" s="9" t="s">
        <v>153</v>
      </c>
      <c r="F39" s="12">
        <v>3974300</v>
      </c>
      <c r="G39" s="12">
        <v>110520.022246941</v>
      </c>
      <c r="H39" s="12">
        <v>107604.021223122</v>
      </c>
      <c r="I39" s="11">
        <v>0.02709936850568573</v>
      </c>
      <c r="J39" s="9" t="s">
        <v>55</v>
      </c>
      <c r="K39" s="11">
        <v>0.03140165572366538</v>
      </c>
      <c r="L39" s="12">
        <v>133098.275862069</v>
      </c>
      <c r="M39" s="11">
        <v>-0.1419573299480551</v>
      </c>
      <c r="N39" s="12">
        <v>112</v>
      </c>
      <c r="O39" s="12">
        <v>2</v>
      </c>
      <c r="P39" s="13">
        <v>0.01785714285714286</v>
      </c>
      <c r="Q39" s="12">
        <v>790</v>
      </c>
      <c r="R39" s="13">
        <v>0.09113924050632911</v>
      </c>
      <c r="S39" s="10">
        <v>1.555555555555556</v>
      </c>
      <c r="T39" s="12">
        <v>1535.000308985292</v>
      </c>
      <c r="U39" s="12">
        <v>7</v>
      </c>
    </row>
    <row r="40" spans="1:21">
      <c r="A40" s="9" t="s">
        <v>154</v>
      </c>
      <c r="B40" s="9" t="s">
        <v>155</v>
      </c>
      <c r="C40" s="9" t="s">
        <v>32</v>
      </c>
      <c r="D40" s="9" t="s">
        <v>156</v>
      </c>
      <c r="E40" s="9" t="s">
        <v>157</v>
      </c>
      <c r="F40" s="12">
        <v>174355</v>
      </c>
      <c r="G40" s="12">
        <v>115842.8011427812</v>
      </c>
      <c r="H40" s="12">
        <v>151491.0536779324</v>
      </c>
      <c r="I40" s="11">
        <v>-0.2353158927189115</v>
      </c>
      <c r="J40" s="9" t="s">
        <v>55</v>
      </c>
      <c r="K40" s="11">
        <v>-0.2372922134733157</v>
      </c>
      <c r="L40" s="12">
        <v>135910.3448275862</v>
      </c>
      <c r="M40" s="11">
        <v>-0.1152549855381336</v>
      </c>
      <c r="N40" s="12">
        <v>122</v>
      </c>
      <c r="O40" s="12">
        <v>0</v>
      </c>
      <c r="P40" s="13">
        <v>0</v>
      </c>
      <c r="Q40" s="12">
        <v>831</v>
      </c>
      <c r="R40" s="13">
        <v>0.08904933814681107</v>
      </c>
      <c r="S40" s="10">
        <v>1.648648648648649</v>
      </c>
      <c r="T40" s="12">
        <v>1565.443258686232</v>
      </c>
      <c r="U40" s="12">
        <v>7</v>
      </c>
    </row>
    <row r="41" spans="1:21">
      <c r="A41" s="9" t="s">
        <v>158</v>
      </c>
      <c r="B41" s="9" t="s">
        <v>159</v>
      </c>
      <c r="C41" s="9" t="s">
        <v>32</v>
      </c>
      <c r="D41" s="9" t="s">
        <v>160</v>
      </c>
      <c r="E41" s="9" t="s">
        <v>161</v>
      </c>
      <c r="F41" s="12">
        <v>93200</v>
      </c>
      <c r="G41" s="12">
        <v>52631.57894736842</v>
      </c>
      <c r="H41" s="12">
        <v>76340.85497221907</v>
      </c>
      <c r="I41" s="11">
        <v>-0.3105712666366994</v>
      </c>
      <c r="J41" s="9" t="s">
        <v>55</v>
      </c>
      <c r="K41" s="11">
        <v>-0.3078351281099146</v>
      </c>
      <c r="L41" s="12">
        <v>71630.30303030304</v>
      </c>
      <c r="M41" s="11">
        <v>-0.211465013960572</v>
      </c>
      <c r="N41" s="12">
        <v>58</v>
      </c>
      <c r="O41" s="12">
        <v>0</v>
      </c>
      <c r="P41" s="13">
        <v>0</v>
      </c>
      <c r="Q41" s="12">
        <v>379</v>
      </c>
      <c r="R41" s="13">
        <v>0.1029023746701847</v>
      </c>
      <c r="S41" s="10">
        <v>1.487179487179487</v>
      </c>
      <c r="T41" s="12">
        <v>1349.527665317139</v>
      </c>
      <c r="U41" s="12">
        <v>7</v>
      </c>
    </row>
    <row r="42" spans="1:21">
      <c r="B42" s="14" t="s">
        <v>162</v>
      </c>
      <c r="G42" s="17">
        <v>6516951.399388868</v>
      </c>
      <c r="H42" s="17">
        <v>6086535.19717772</v>
      </c>
      <c r="L42" s="17">
        <v>7597644.235874832</v>
      </c>
      <c r="N42" s="17">
        <v>6340</v>
      </c>
      <c r="O42" s="17">
        <v>182</v>
      </c>
      <c r="Q42" s="17">
        <v>41133</v>
      </c>
    </row>
    <row r="44" spans="1:21">
      <c r="B44" s="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2" width="18.7109375" customWidth="1"/>
    <col min="3" max="8" width="11.7109375" customWidth="1"/>
  </cols>
  <sheetData>
    <row r="1" spans="1:8">
      <c r="A1" s="7" t="s">
        <v>163</v>
      </c>
    </row>
    <row r="2" spans="1:8">
      <c r="A2" s="8" t="s">
        <v>17</v>
      </c>
      <c r="B2" s="8" t="s">
        <v>38</v>
      </c>
      <c r="C2" s="8" t="s">
        <v>164</v>
      </c>
      <c r="D2" s="8" t="s">
        <v>165</v>
      </c>
      <c r="E2" s="8" t="s">
        <v>20</v>
      </c>
      <c r="F2" s="8" t="s">
        <v>44</v>
      </c>
      <c r="G2" s="8" t="s">
        <v>23</v>
      </c>
      <c r="H2" s="8" t="s">
        <v>24</v>
      </c>
    </row>
    <row r="3" spans="1:8">
      <c r="A3" s="9" t="s">
        <v>30</v>
      </c>
      <c r="B3" s="9" t="s">
        <v>53</v>
      </c>
      <c r="C3" s="10">
        <v>915.8200000000001</v>
      </c>
      <c r="D3" s="10">
        <v>861.5700000000001</v>
      </c>
      <c r="E3" s="11">
        <v>0.06296644497835358</v>
      </c>
      <c r="F3" s="11">
        <v>0.06296644497835358</v>
      </c>
      <c r="G3" s="11">
        <v>-0.1036487491680695</v>
      </c>
      <c r="H3" s="12">
        <v>927</v>
      </c>
    </row>
    <row r="4" spans="1:8">
      <c r="A4" s="9" t="s">
        <v>30</v>
      </c>
      <c r="B4" s="9" t="s">
        <v>68</v>
      </c>
      <c r="C4" s="10">
        <v>556.1369999999999</v>
      </c>
      <c r="D4" s="10">
        <v>503.34</v>
      </c>
      <c r="E4" s="11">
        <v>0.1048933126713554</v>
      </c>
      <c r="F4" s="11">
        <v>0.1048933126713554</v>
      </c>
      <c r="G4" s="11">
        <v>-0.1422139618101613</v>
      </c>
      <c r="H4" s="12">
        <v>552</v>
      </c>
    </row>
    <row r="5" spans="1:8">
      <c r="A5" s="9" t="s">
        <v>30</v>
      </c>
      <c r="B5" s="9" t="s">
        <v>75</v>
      </c>
      <c r="C5" s="10">
        <v>211.0200560707354</v>
      </c>
      <c r="D5" s="10">
        <v>235.6981618832635</v>
      </c>
      <c r="E5" s="11">
        <v>-0.104702156416267</v>
      </c>
      <c r="F5" s="11">
        <v>-0.1074930451042093</v>
      </c>
      <c r="G5" s="11">
        <v>-0.1918487776676577</v>
      </c>
      <c r="H5" s="12">
        <v>219</v>
      </c>
    </row>
    <row r="6" spans="1:8">
      <c r="A6" s="9" t="s">
        <v>30</v>
      </c>
      <c r="B6" s="9" t="s">
        <v>83</v>
      </c>
      <c r="C6" s="10">
        <v>495.1207729468599</v>
      </c>
      <c r="D6" s="10">
        <v>398.6816462226298</v>
      </c>
      <c r="E6" s="11">
        <v>0.2418950750252924</v>
      </c>
      <c r="F6" s="11">
        <v>0.2377663398222964</v>
      </c>
      <c r="G6" s="11">
        <v>-0.006215283389126136</v>
      </c>
      <c r="H6" s="12">
        <v>536</v>
      </c>
    </row>
    <row r="7" spans="1:8">
      <c r="A7" s="9" t="s">
        <v>30</v>
      </c>
      <c r="B7" s="9" t="s">
        <v>89</v>
      </c>
      <c r="C7" s="10">
        <v>176.457</v>
      </c>
      <c r="D7" s="10">
        <v>192.54</v>
      </c>
      <c r="E7" s="11">
        <v>-0.083530694920536</v>
      </c>
      <c r="F7" s="11">
        <v>-0.083530694920536</v>
      </c>
      <c r="G7" s="11">
        <v>-0.1962421426619295</v>
      </c>
      <c r="H7" s="12">
        <v>192</v>
      </c>
    </row>
    <row r="8" spans="1:8">
      <c r="A8" s="9" t="s">
        <v>30</v>
      </c>
      <c r="B8" s="9" t="s">
        <v>94</v>
      </c>
      <c r="C8" s="10">
        <v>133.66</v>
      </c>
      <c r="D8" s="10">
        <v>136.66</v>
      </c>
      <c r="E8" s="11">
        <v>-0.02195229035562707</v>
      </c>
      <c r="F8" s="11">
        <v>-0.02195229035562707</v>
      </c>
      <c r="G8" s="11">
        <v>-0.003206801402043435</v>
      </c>
      <c r="H8" s="12">
        <v>132</v>
      </c>
    </row>
    <row r="9" spans="1:8">
      <c r="A9" s="9" t="s">
        <v>30</v>
      </c>
      <c r="B9" s="9" t="s">
        <v>97</v>
      </c>
      <c r="C9" s="10">
        <v>94.255</v>
      </c>
      <c r="D9" s="10">
        <v>82.34999999999999</v>
      </c>
      <c r="E9" s="11">
        <v>0.1445658773527625</v>
      </c>
      <c r="F9" s="11">
        <v>0.1445658773527625</v>
      </c>
      <c r="G9" s="11">
        <v>-0.1561017100904288</v>
      </c>
      <c r="H9" s="12">
        <v>96</v>
      </c>
    </row>
    <row r="10" spans="1:8">
      <c r="A10" s="9" t="s">
        <v>30</v>
      </c>
      <c r="B10" s="9" t="s">
        <v>100</v>
      </c>
      <c r="C10" s="10">
        <v>61.07627164067107</v>
      </c>
      <c r="D10" s="10">
        <v>65.26053259674435</v>
      </c>
      <c r="E10" s="11">
        <v>-0.06411625510212315</v>
      </c>
      <c r="F10" s="11">
        <v>-0.06348880213683994</v>
      </c>
      <c r="G10" s="11">
        <v>-0.1703537078160836</v>
      </c>
      <c r="H10" s="12">
        <v>58</v>
      </c>
    </row>
    <row r="11" spans="1:8">
      <c r="A11" s="9" t="s">
        <v>30</v>
      </c>
      <c r="B11" s="9" t="s">
        <v>104</v>
      </c>
      <c r="C11" s="10">
        <v>106.2677634771357</v>
      </c>
      <c r="D11" s="10">
        <v>135.3565551924726</v>
      </c>
      <c r="E11" s="11">
        <v>-0.2149049351468324</v>
      </c>
      <c r="F11" s="11">
        <v>-0.2125759780840681</v>
      </c>
      <c r="G11" s="11">
        <v>-0.2945900759260679</v>
      </c>
      <c r="H11" s="12">
        <v>129</v>
      </c>
    </row>
    <row r="12" spans="1:8">
      <c r="A12" s="9" t="s">
        <v>31</v>
      </c>
      <c r="B12" s="9" t="s">
        <v>108</v>
      </c>
      <c r="C12" s="10">
        <v>548.485234215886</v>
      </c>
      <c r="D12" s="10">
        <v>570.6868669674014</v>
      </c>
      <c r="E12" s="11">
        <v>-0.03890335319874061</v>
      </c>
      <c r="F12" s="11">
        <v>-0.03604026845637598</v>
      </c>
      <c r="G12" s="11">
        <v>-0.1777436040964315</v>
      </c>
      <c r="H12" s="12">
        <v>602</v>
      </c>
    </row>
    <row r="13" spans="1:8">
      <c r="A13" s="9" t="s">
        <v>31</v>
      </c>
      <c r="B13" s="9" t="s">
        <v>120</v>
      </c>
      <c r="C13" s="10">
        <v>157.6882618649836</v>
      </c>
      <c r="D13" s="10">
        <v>116.4557348985082</v>
      </c>
      <c r="E13" s="11">
        <v>0.3540617986946695</v>
      </c>
      <c r="F13" s="11">
        <v>0.3379183619897626</v>
      </c>
      <c r="G13" s="11">
        <v>0.1844195947202083</v>
      </c>
      <c r="H13" s="12">
        <v>152</v>
      </c>
    </row>
    <row r="14" spans="1:8">
      <c r="A14" s="9" t="s">
        <v>32</v>
      </c>
      <c r="B14" s="9" t="s">
        <v>124</v>
      </c>
      <c r="C14" s="10">
        <v>901.1880039445443</v>
      </c>
      <c r="D14" s="10">
        <v>683.8943552563439</v>
      </c>
      <c r="E14" s="11">
        <v>0.3177298467491405</v>
      </c>
      <c r="F14" s="11">
        <v>0.3071146112036616</v>
      </c>
      <c r="G14" s="11">
        <v>-0.05443619659611865</v>
      </c>
      <c r="H14" s="12">
        <v>769</v>
      </c>
    </row>
    <row r="15" spans="1:8">
      <c r="A15" s="9" t="s">
        <v>32</v>
      </c>
      <c r="B15" s="9" t="s">
        <v>132</v>
      </c>
      <c r="C15" s="10">
        <v>810.6701517996295</v>
      </c>
      <c r="D15" s="10">
        <v>728.8158559268794</v>
      </c>
      <c r="E15" s="11">
        <v>0.112311354379977</v>
      </c>
      <c r="F15" s="11">
        <v>0.1165314538755366</v>
      </c>
      <c r="G15" s="11">
        <v>-0.0923878232826546</v>
      </c>
      <c r="H15" s="12">
        <v>730</v>
      </c>
    </row>
    <row r="16" spans="1:8">
      <c r="A16" s="9" t="s">
        <v>32</v>
      </c>
      <c r="B16" s="9" t="s">
        <v>140</v>
      </c>
      <c r="C16" s="10">
        <v>891.1074874636785</v>
      </c>
      <c r="D16" s="10">
        <v>855.8847756565559</v>
      </c>
      <c r="E16" s="11">
        <v>0.04115356740643383</v>
      </c>
      <c r="F16" s="11">
        <v>0.02868020663788839</v>
      </c>
      <c r="G16" s="11">
        <v>-0.1197155003270111</v>
      </c>
      <c r="H16" s="12">
        <v>764</v>
      </c>
    </row>
    <row r="17" spans="1:8">
      <c r="A17" s="9" t="s">
        <v>32</v>
      </c>
      <c r="B17" s="9" t="s">
        <v>148</v>
      </c>
      <c r="C17" s="10">
        <v>179.0039936276542</v>
      </c>
      <c r="D17" s="10">
        <v>183.9047827036471</v>
      </c>
      <c r="E17" s="11">
        <v>-0.02664851345323749</v>
      </c>
      <c r="F17" s="11">
        <v>-0.02594703716898217</v>
      </c>
      <c r="G17" s="11">
        <v>0.01656780973862593</v>
      </c>
      <c r="H17" s="12">
        <v>190</v>
      </c>
    </row>
    <row r="18" spans="1:8">
      <c r="A18" s="9" t="s">
        <v>32</v>
      </c>
      <c r="B18" s="9" t="s">
        <v>152</v>
      </c>
      <c r="C18" s="10">
        <v>110.520022246941</v>
      </c>
      <c r="D18" s="10">
        <v>107.604021223122</v>
      </c>
      <c r="E18" s="11">
        <v>0.02709936850568573</v>
      </c>
      <c r="F18" s="11">
        <v>0.03140165572366538</v>
      </c>
      <c r="G18" s="11">
        <v>-0.1419573299480551</v>
      </c>
      <c r="H18" s="12">
        <v>112</v>
      </c>
    </row>
    <row r="19" spans="1:8">
      <c r="A19" s="9" t="s">
        <v>32</v>
      </c>
      <c r="B19" s="9" t="s">
        <v>156</v>
      </c>
      <c r="C19" s="10">
        <v>115.8428011427812</v>
      </c>
      <c r="D19" s="10">
        <v>151.4910536779324</v>
      </c>
      <c r="E19" s="11">
        <v>-0.2353158927189115</v>
      </c>
      <c r="F19" s="11">
        <v>-0.2372922134733157</v>
      </c>
      <c r="G19" s="11">
        <v>-0.1152549855381336</v>
      </c>
      <c r="H19" s="12">
        <v>122</v>
      </c>
    </row>
    <row r="20" spans="1:8">
      <c r="A20" s="9" t="s">
        <v>32</v>
      </c>
      <c r="B20" s="9" t="s">
        <v>160</v>
      </c>
      <c r="C20" s="10">
        <v>52.63157894736842</v>
      </c>
      <c r="D20" s="10">
        <v>76.34085497221906</v>
      </c>
      <c r="E20" s="11">
        <v>-0.3105712666366994</v>
      </c>
      <c r="F20" s="11">
        <v>-0.3078351281099146</v>
      </c>
      <c r="G20" s="11">
        <v>-0.211465013960572</v>
      </c>
      <c r="H20" s="12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cols>
    <col min="2" max="2" width="28.7109375" customWidth="1"/>
    <col min="3" max="9" width="10.7109375" customWidth="1"/>
  </cols>
  <sheetData>
    <row r="1" spans="1:9">
      <c r="A1" s="7" t="s">
        <v>166</v>
      </c>
    </row>
    <row r="2" spans="1:9">
      <c r="A2" s="8" t="s">
        <v>36</v>
      </c>
      <c r="B2" s="8" t="s">
        <v>37</v>
      </c>
      <c r="C2" s="8" t="s">
        <v>167</v>
      </c>
      <c r="D2" s="8" t="s">
        <v>168</v>
      </c>
      <c r="E2" s="8" t="s">
        <v>169</v>
      </c>
      <c r="F2" s="8" t="s">
        <v>170</v>
      </c>
      <c r="G2" s="8" t="s">
        <v>171</v>
      </c>
      <c r="H2" s="8" t="s">
        <v>172</v>
      </c>
      <c r="I2" s="8" t="s">
        <v>173</v>
      </c>
    </row>
    <row r="3" spans="1:9">
      <c r="A3" s="9" t="s">
        <v>51</v>
      </c>
      <c r="B3" s="9" t="s">
        <v>52</v>
      </c>
      <c r="C3" s="12">
        <v>36810</v>
      </c>
      <c r="D3" s="12">
        <v>31210</v>
      </c>
      <c r="E3" s="12">
        <v>48211</v>
      </c>
      <c r="F3" s="12">
        <v>36340</v>
      </c>
      <c r="G3" s="12">
        <v>61331</v>
      </c>
      <c r="H3" s="12">
        <v>75310</v>
      </c>
      <c r="I3" s="12">
        <v>51203</v>
      </c>
    </row>
    <row r="4" spans="1:9">
      <c r="A4" s="9" t="s">
        <v>56</v>
      </c>
      <c r="B4" s="9" t="s">
        <v>57</v>
      </c>
      <c r="C4" s="12">
        <v>18990</v>
      </c>
      <c r="D4" s="12">
        <v>6590</v>
      </c>
      <c r="E4" s="12">
        <v>26175</v>
      </c>
      <c r="F4" s="12">
        <v>19150</v>
      </c>
      <c r="G4" s="12">
        <v>19210</v>
      </c>
      <c r="H4" s="12">
        <v>29640</v>
      </c>
      <c r="I4" s="12">
        <v>12080</v>
      </c>
    </row>
    <row r="5" spans="1:9">
      <c r="A5" s="9" t="s">
        <v>58</v>
      </c>
      <c r="B5" s="9" t="s">
        <v>59</v>
      </c>
      <c r="C5" s="12">
        <v>17150</v>
      </c>
      <c r="D5" s="12">
        <v>26440</v>
      </c>
      <c r="E5" s="12">
        <v>17483</v>
      </c>
      <c r="F5" s="12">
        <v>27480</v>
      </c>
      <c r="G5" s="12">
        <v>38280</v>
      </c>
      <c r="H5" s="12">
        <v>35890</v>
      </c>
      <c r="I5" s="12">
        <v>29390</v>
      </c>
    </row>
    <row r="6" spans="1:9">
      <c r="A6" s="9" t="s">
        <v>60</v>
      </c>
      <c r="B6" s="9" t="s">
        <v>61</v>
      </c>
      <c r="C6" s="12">
        <v>17470</v>
      </c>
      <c r="D6" s="12">
        <v>12110</v>
      </c>
      <c r="E6" s="12">
        <v>13840</v>
      </c>
      <c r="F6" s="12">
        <v>22730</v>
      </c>
      <c r="G6" s="12">
        <v>24705</v>
      </c>
      <c r="H6" s="12">
        <v>48160</v>
      </c>
      <c r="I6" s="12">
        <v>25043</v>
      </c>
    </row>
    <row r="7" spans="1:9">
      <c r="A7" s="9" t="s">
        <v>62</v>
      </c>
      <c r="B7" s="9" t="s">
        <v>63</v>
      </c>
      <c r="C7" s="12">
        <v>6250</v>
      </c>
      <c r="D7" s="12">
        <v>4020</v>
      </c>
      <c r="E7" s="12">
        <v>1279</v>
      </c>
      <c r="F7" s="12">
        <v>10290</v>
      </c>
      <c r="G7" s="12">
        <v>1860</v>
      </c>
      <c r="H7" s="12">
        <v>2900</v>
      </c>
      <c r="I7" s="9" t="s">
        <v>174</v>
      </c>
    </row>
    <row r="8" spans="1:9">
      <c r="A8" s="9" t="s">
        <v>64</v>
      </c>
      <c r="B8" s="9" t="s">
        <v>65</v>
      </c>
      <c r="C8" s="12">
        <v>4670</v>
      </c>
      <c r="D8" s="12">
        <v>7480</v>
      </c>
      <c r="E8" s="12">
        <v>11170</v>
      </c>
      <c r="F8" s="12">
        <v>2570</v>
      </c>
      <c r="G8" s="12">
        <v>8780</v>
      </c>
      <c r="H8" s="12">
        <v>11530</v>
      </c>
      <c r="I8" s="12">
        <v>14600</v>
      </c>
    </row>
    <row r="9" spans="1:9">
      <c r="A9" s="9" t="s">
        <v>66</v>
      </c>
      <c r="B9" s="9" t="s">
        <v>67</v>
      </c>
      <c r="C9" s="12">
        <v>44383</v>
      </c>
      <c r="D9" s="12">
        <v>33970</v>
      </c>
      <c r="E9" s="12">
        <v>22520</v>
      </c>
      <c r="F9" s="12">
        <v>43603</v>
      </c>
      <c r="G9" s="12">
        <v>30390</v>
      </c>
      <c r="H9" s="12">
        <v>82480</v>
      </c>
      <c r="I9" s="9" t="s">
        <v>174</v>
      </c>
    </row>
    <row r="10" spans="1:9">
      <c r="A10" s="9" t="s">
        <v>69</v>
      </c>
      <c r="B10" s="9" t="s">
        <v>70</v>
      </c>
      <c r="C10" s="12">
        <v>26055</v>
      </c>
      <c r="D10" s="12">
        <v>33973</v>
      </c>
      <c r="E10" s="12">
        <v>27450</v>
      </c>
      <c r="F10" s="12">
        <v>46030</v>
      </c>
      <c r="G10" s="12">
        <v>35190</v>
      </c>
      <c r="H10" s="12">
        <v>49293</v>
      </c>
      <c r="I10" s="12">
        <v>36840</v>
      </c>
    </row>
    <row r="11" spans="1:9">
      <c r="A11" s="9" t="s">
        <v>71</v>
      </c>
      <c r="B11" s="9" t="s">
        <v>72</v>
      </c>
      <c r="C11" s="12">
        <v>3340</v>
      </c>
      <c r="D11" s="12">
        <v>7670</v>
      </c>
      <c r="E11" s="12">
        <v>5860</v>
      </c>
      <c r="F11" s="12">
        <v>10740</v>
      </c>
      <c r="G11" s="12">
        <v>11740</v>
      </c>
      <c r="H11" s="12">
        <v>4610</v>
      </c>
      <c r="I11" s="9" t="s">
        <v>174</v>
      </c>
    </row>
    <row r="12" spans="1:9">
      <c r="A12" s="9" t="s">
        <v>73</v>
      </c>
      <c r="B12" s="9" t="s">
        <v>74</v>
      </c>
      <c r="C12" s="12">
        <v>5611.386672417511</v>
      </c>
      <c r="D12" s="12">
        <v>6372.654733664007</v>
      </c>
      <c r="E12" s="12">
        <v>8524.908345913305</v>
      </c>
      <c r="F12" s="12">
        <v>9046.797498382575</v>
      </c>
      <c r="G12" s="12">
        <v>12367.91028682338</v>
      </c>
      <c r="H12" s="12">
        <v>20995.25555315937</v>
      </c>
      <c r="I12" s="9" t="s">
        <v>174</v>
      </c>
    </row>
    <row r="13" spans="1:9">
      <c r="A13" s="9" t="s">
        <v>77</v>
      </c>
      <c r="B13" s="9" t="s">
        <v>78</v>
      </c>
      <c r="C13" s="12">
        <v>6351.089066206599</v>
      </c>
      <c r="D13" s="12">
        <v>18859.17619150313</v>
      </c>
      <c r="E13" s="12">
        <v>11117.10157429373</v>
      </c>
      <c r="F13" s="12">
        <v>16832.00345050679</v>
      </c>
      <c r="G13" s="12">
        <v>15591.97757170584</v>
      </c>
      <c r="H13" s="12">
        <v>37405.65020487384</v>
      </c>
      <c r="I13" s="9" t="s">
        <v>174</v>
      </c>
    </row>
    <row r="14" spans="1:9">
      <c r="A14" s="9" t="s">
        <v>79</v>
      </c>
      <c r="B14" s="9" t="s">
        <v>80</v>
      </c>
      <c r="C14" s="12">
        <v>5844.295880957516</v>
      </c>
      <c r="D14" s="12">
        <v>4183.739486737115</v>
      </c>
      <c r="E14" s="12">
        <v>1423.334052188915</v>
      </c>
      <c r="F14" s="12">
        <v>6146.215225361225</v>
      </c>
      <c r="G14" s="12">
        <v>13575.58766443822</v>
      </c>
      <c r="H14" s="12">
        <v>10588.74272158723</v>
      </c>
      <c r="I14" s="12">
        <v>182.229890015096</v>
      </c>
    </row>
    <row r="15" spans="1:9">
      <c r="A15" s="9" t="s">
        <v>81</v>
      </c>
      <c r="B15" s="9" t="s">
        <v>82</v>
      </c>
      <c r="C15" s="12">
        <v>25531.40096618358</v>
      </c>
      <c r="D15" s="12">
        <v>26846.10075914424</v>
      </c>
      <c r="E15" s="12">
        <v>42432.71221532091</v>
      </c>
      <c r="F15" s="12">
        <v>52734.06947319991</v>
      </c>
      <c r="G15" s="12">
        <v>64918.33448355188</v>
      </c>
      <c r="H15" s="12">
        <v>62721.41706924316</v>
      </c>
      <c r="I15" s="12">
        <v>50425.58086036347</v>
      </c>
    </row>
    <row r="16" spans="1:9">
      <c r="A16" s="9" t="s">
        <v>85</v>
      </c>
      <c r="B16" s="9" t="s">
        <v>86</v>
      </c>
      <c r="C16" s="12">
        <v>16107.66045548654</v>
      </c>
      <c r="D16" s="12">
        <v>17414.30871865655</v>
      </c>
      <c r="E16" s="12">
        <v>22958.36208879687</v>
      </c>
      <c r="F16" s="12">
        <v>22199.21785139176</v>
      </c>
      <c r="G16" s="12">
        <v>25523.34943639292</v>
      </c>
      <c r="H16" s="12">
        <v>51863.35403726708</v>
      </c>
      <c r="I16" s="12">
        <v>13444.90453186106</v>
      </c>
    </row>
    <row r="17" spans="1:9">
      <c r="A17" s="9" t="s">
        <v>87</v>
      </c>
      <c r="B17" s="9" t="s">
        <v>88</v>
      </c>
      <c r="C17" s="12">
        <v>16920</v>
      </c>
      <c r="D17" s="12">
        <v>14631</v>
      </c>
      <c r="E17" s="12">
        <v>17190</v>
      </c>
      <c r="F17" s="12">
        <v>13980</v>
      </c>
      <c r="G17" s="12">
        <v>21258</v>
      </c>
      <c r="H17" s="12">
        <v>24750</v>
      </c>
      <c r="I17" s="9" t="s">
        <v>174</v>
      </c>
    </row>
    <row r="18" spans="1:9">
      <c r="A18" s="9" t="s">
        <v>90</v>
      </c>
      <c r="B18" s="9" t="s">
        <v>91</v>
      </c>
      <c r="C18" s="12">
        <v>9800</v>
      </c>
      <c r="D18" s="12">
        <v>9230</v>
      </c>
      <c r="E18" s="12">
        <v>7338</v>
      </c>
      <c r="F18" s="12">
        <v>10070</v>
      </c>
      <c r="G18" s="12">
        <v>10180</v>
      </c>
      <c r="H18" s="12">
        <v>21110</v>
      </c>
      <c r="I18" s="9" t="s">
        <v>174</v>
      </c>
    </row>
    <row r="19" spans="1:9">
      <c r="A19" s="9" t="s">
        <v>92</v>
      </c>
      <c r="B19" s="9" t="s">
        <v>93</v>
      </c>
      <c r="C19" s="12">
        <v>9490</v>
      </c>
      <c r="D19" s="12">
        <v>21860</v>
      </c>
      <c r="E19" s="12">
        <v>12210</v>
      </c>
      <c r="F19" s="12">
        <v>21310</v>
      </c>
      <c r="G19" s="12">
        <v>11380</v>
      </c>
      <c r="H19" s="12">
        <v>33870</v>
      </c>
      <c r="I19" s="12">
        <v>23540</v>
      </c>
    </row>
    <row r="20" spans="1:9">
      <c r="A20" s="9" t="s">
        <v>95</v>
      </c>
      <c r="B20" s="9" t="s">
        <v>96</v>
      </c>
      <c r="C20" s="12">
        <v>4220</v>
      </c>
      <c r="D20" s="12">
        <v>10290</v>
      </c>
      <c r="E20" s="12">
        <v>10100</v>
      </c>
      <c r="F20" s="12">
        <v>21405</v>
      </c>
      <c r="G20" s="12">
        <v>12520</v>
      </c>
      <c r="H20" s="12">
        <v>17740</v>
      </c>
      <c r="I20" s="12">
        <v>17980</v>
      </c>
    </row>
    <row r="21" spans="1:9">
      <c r="A21" s="9" t="s">
        <v>98</v>
      </c>
      <c r="B21" s="9" t="s">
        <v>99</v>
      </c>
      <c r="C21" s="12">
        <v>5815.511604223616</v>
      </c>
      <c r="D21" s="12">
        <v>8053.27759018063</v>
      </c>
      <c r="E21" s="12">
        <v>7691.48308945704</v>
      </c>
      <c r="F21" s="12">
        <v>5467.116899823123</v>
      </c>
      <c r="G21" s="12">
        <v>21587.07187650748</v>
      </c>
      <c r="H21" s="12">
        <v>12461.81058047918</v>
      </c>
      <c r="I21" s="9" t="s">
        <v>174</v>
      </c>
    </row>
    <row r="22" spans="1:9">
      <c r="A22" s="9" t="s">
        <v>102</v>
      </c>
      <c r="B22" s="9" t="s">
        <v>103</v>
      </c>
      <c r="C22" s="12">
        <v>14199.22822746494</v>
      </c>
      <c r="D22" s="12">
        <v>10975.80701065231</v>
      </c>
      <c r="E22" s="12">
        <v>10375.02599533239</v>
      </c>
      <c r="F22" s="12">
        <v>19421.40166832267</v>
      </c>
      <c r="G22" s="12">
        <v>13782.14756106015</v>
      </c>
      <c r="H22" s="12">
        <v>20750.05199066479</v>
      </c>
      <c r="I22" s="12">
        <v>16764.10102363842</v>
      </c>
    </row>
    <row r="23" spans="1:9">
      <c r="A23" s="9" t="s">
        <v>106</v>
      </c>
      <c r="B23" s="9" t="s">
        <v>107</v>
      </c>
      <c r="C23" s="12">
        <v>19579.51459606246</v>
      </c>
      <c r="D23" s="12">
        <v>44106.41547861508</v>
      </c>
      <c r="E23" s="12">
        <v>49497.19959266803</v>
      </c>
      <c r="F23" s="12">
        <v>35153.59809911745</v>
      </c>
      <c r="G23" s="12">
        <v>41038.69653767821</v>
      </c>
      <c r="H23" s="12">
        <v>41706.97556008147</v>
      </c>
      <c r="I23" s="12">
        <v>25309.74202308215</v>
      </c>
    </row>
    <row r="24" spans="1:9">
      <c r="A24" s="9" t="s">
        <v>110</v>
      </c>
      <c r="B24" s="9" t="s">
        <v>111</v>
      </c>
      <c r="C24" s="12">
        <v>8002.376103190768</v>
      </c>
      <c r="D24" s="12">
        <v>14935.50577053632</v>
      </c>
      <c r="E24" s="12">
        <v>14447.55600814664</v>
      </c>
      <c r="F24" s="12">
        <v>27677.35913102512</v>
      </c>
      <c r="G24" s="12">
        <v>26158.35030549899</v>
      </c>
      <c r="H24" s="12">
        <v>32754.15818058385</v>
      </c>
      <c r="I24" s="12">
        <v>20493.8900203666</v>
      </c>
    </row>
    <row r="25" spans="1:9">
      <c r="A25" s="9" t="s">
        <v>112</v>
      </c>
      <c r="B25" s="9" t="s">
        <v>113</v>
      </c>
      <c r="C25" s="12">
        <v>12750.33944331297</v>
      </c>
      <c r="D25" s="12">
        <v>11010.69246435845</v>
      </c>
      <c r="E25" s="12">
        <v>5134.080108621861</v>
      </c>
      <c r="F25" s="12">
        <v>5134.080108621861</v>
      </c>
      <c r="G25" s="12">
        <v>10713.67956551256</v>
      </c>
      <c r="H25" s="12">
        <v>6237.270875763748</v>
      </c>
      <c r="I25" s="12">
        <v>8846.74134419552</v>
      </c>
    </row>
    <row r="26" spans="1:9">
      <c r="A26" s="9" t="s">
        <v>114</v>
      </c>
      <c r="B26" s="9" t="s">
        <v>115</v>
      </c>
      <c r="C26" s="12">
        <v>10450.61099796334</v>
      </c>
      <c r="D26" s="12">
        <v>5452.308214528174</v>
      </c>
      <c r="E26" s="12">
        <v>13932.02647657841</v>
      </c>
      <c r="F26" s="12">
        <v>12177.5288526816</v>
      </c>
      <c r="G26" s="12">
        <v>12009.92871690428</v>
      </c>
      <c r="H26" s="12">
        <v>8125.424304141209</v>
      </c>
      <c r="I26" s="12">
        <v>15296.16429056348</v>
      </c>
    </row>
    <row r="27" spans="1:9">
      <c r="A27" s="9" t="s">
        <v>116</v>
      </c>
      <c r="B27" s="9" t="s">
        <v>117</v>
      </c>
      <c r="C27" s="9" t="s">
        <v>174</v>
      </c>
      <c r="D27" s="12">
        <v>3161.065852002716</v>
      </c>
      <c r="E27" s="12">
        <v>-1378.988458927359</v>
      </c>
      <c r="F27" s="12">
        <v>-784.9626612355737</v>
      </c>
      <c r="G27" s="12">
        <v>3988.458927359131</v>
      </c>
      <c r="H27" s="12">
        <v>4349.117447386287</v>
      </c>
      <c r="I27" s="12">
        <v>1018.329938900204</v>
      </c>
    </row>
    <row r="28" spans="1:9">
      <c r="A28" s="9" t="s">
        <v>118</v>
      </c>
      <c r="B28" s="9" t="s">
        <v>119</v>
      </c>
      <c r="C28" s="12">
        <v>6698.224119794567</v>
      </c>
      <c r="D28" s="12">
        <v>15438.40108904152</v>
      </c>
      <c r="E28" s="12">
        <v>23776.37522430543</v>
      </c>
      <c r="F28" s="12">
        <v>27736.52620506157</v>
      </c>
      <c r="G28" s="12">
        <v>36529.29892952168</v>
      </c>
      <c r="H28" s="12">
        <v>27507.5799764866</v>
      </c>
      <c r="I28" s="12">
        <v>20001.85632077223</v>
      </c>
    </row>
    <row r="29" spans="1:9">
      <c r="A29" s="9" t="s">
        <v>122</v>
      </c>
      <c r="B29" s="9" t="s">
        <v>123</v>
      </c>
      <c r="C29" s="12">
        <v>45731.77098439585</v>
      </c>
      <c r="D29" s="12">
        <v>30746.56302569755</v>
      </c>
      <c r="E29" s="12">
        <v>47102.50014502001</v>
      </c>
      <c r="F29" s="12">
        <v>42374.84772898661</v>
      </c>
      <c r="G29" s="12">
        <v>56314.17135564709</v>
      </c>
      <c r="H29" s="12">
        <v>84477.05783398109</v>
      </c>
      <c r="I29" s="12">
        <v>190950.7512036661</v>
      </c>
    </row>
    <row r="30" spans="1:9">
      <c r="A30" s="9" t="s">
        <v>126</v>
      </c>
      <c r="B30" s="9" t="s">
        <v>127</v>
      </c>
      <c r="C30" s="12">
        <v>17709.84395846627</v>
      </c>
      <c r="D30" s="12">
        <v>33076.16451070248</v>
      </c>
      <c r="E30" s="12">
        <v>20331.80578919891</v>
      </c>
      <c r="F30" s="12">
        <v>25482.91664249667</v>
      </c>
      <c r="G30" s="12">
        <v>32146.29618887407</v>
      </c>
      <c r="H30" s="12">
        <v>38934.97302627763</v>
      </c>
      <c r="I30" s="12">
        <v>44898.19595104125</v>
      </c>
    </row>
    <row r="31" spans="1:9">
      <c r="A31" s="9" t="s">
        <v>128</v>
      </c>
      <c r="B31" s="9" t="s">
        <v>129</v>
      </c>
      <c r="C31" s="12">
        <v>22037.24113927722</v>
      </c>
      <c r="D31" s="12">
        <v>26503.85753233947</v>
      </c>
      <c r="E31" s="12">
        <v>19241.25529323047</v>
      </c>
      <c r="F31" s="12">
        <v>19171.64568710482</v>
      </c>
      <c r="G31" s="12">
        <v>33250.18852601659</v>
      </c>
      <c r="H31" s="12">
        <v>34398.74702708974</v>
      </c>
      <c r="I31" s="12">
        <v>36307.21039503452</v>
      </c>
    </row>
    <row r="32" spans="1:9">
      <c r="A32" s="9" t="s">
        <v>130</v>
      </c>
      <c r="B32" s="9" t="s">
        <v>131</v>
      </c>
      <c r="C32" s="12">
        <v>59750.39575893679</v>
      </c>
      <c r="D32" s="12">
        <v>35515.22291352207</v>
      </c>
      <c r="E32" s="12">
        <v>45431.89878388494</v>
      </c>
      <c r="F32" s="12">
        <v>59524.59841205562</v>
      </c>
      <c r="G32" s="12">
        <v>36777.97003276516</v>
      </c>
      <c r="H32" s="12">
        <v>63781.6146964621</v>
      </c>
      <c r="I32" s="12">
        <v>86853.44034164121</v>
      </c>
    </row>
    <row r="33" spans="1:9">
      <c r="A33" s="9" t="s">
        <v>134</v>
      </c>
      <c r="B33" s="9" t="s">
        <v>135</v>
      </c>
      <c r="C33" s="12">
        <v>42005.66947686191</v>
      </c>
      <c r="D33" s="12">
        <v>46862.76675379499</v>
      </c>
      <c r="E33" s="12">
        <v>34516.31508547166</v>
      </c>
      <c r="F33" s="12">
        <v>32808.10906993582</v>
      </c>
      <c r="G33" s="12">
        <v>32269.38605210519</v>
      </c>
      <c r="H33" s="12">
        <v>49388.87457202813</v>
      </c>
      <c r="I33" s="12">
        <v>63530.04700020861</v>
      </c>
    </row>
    <row r="34" spans="1:9">
      <c r="A34" s="9" t="s">
        <v>136</v>
      </c>
      <c r="B34" s="9" t="s">
        <v>137</v>
      </c>
      <c r="C34" s="12">
        <v>12271.59493919425</v>
      </c>
      <c r="D34" s="12">
        <v>9516.621875345139</v>
      </c>
      <c r="E34" s="12">
        <v>10565.84324264625</v>
      </c>
      <c r="F34" s="12">
        <v>22144.09306777602</v>
      </c>
      <c r="G34" s="12">
        <v>22260.67321969836</v>
      </c>
      <c r="H34" s="12">
        <v>24131.47786817853</v>
      </c>
      <c r="I34" s="12">
        <v>20763.53863711667</v>
      </c>
    </row>
    <row r="35" spans="1:9">
      <c r="A35" s="9" t="s">
        <v>138</v>
      </c>
      <c r="B35" s="9" t="s">
        <v>139</v>
      </c>
      <c r="C35" s="12">
        <v>35947.67235143386</v>
      </c>
      <c r="D35" s="12">
        <v>51236.46751590795</v>
      </c>
      <c r="E35" s="12">
        <v>65540.74764292633</v>
      </c>
      <c r="F35" s="12">
        <v>47435.72453195689</v>
      </c>
      <c r="G35" s="12">
        <v>95268.68800804287</v>
      </c>
      <c r="H35" s="12">
        <v>61885.90414771403</v>
      </c>
      <c r="I35" s="12">
        <v>59732.96715422434</v>
      </c>
    </row>
    <row r="36" spans="1:9">
      <c r="A36" s="9" t="s">
        <v>142</v>
      </c>
      <c r="B36" s="9" t="s">
        <v>143</v>
      </c>
      <c r="C36" s="12">
        <v>32245.01305739122</v>
      </c>
      <c r="D36" s="12">
        <v>38828.88074249354</v>
      </c>
      <c r="E36" s="12">
        <v>37590.5741573998</v>
      </c>
      <c r="F36" s="12">
        <v>42482.49819158197</v>
      </c>
      <c r="G36" s="12">
        <v>31803.63645280336</v>
      </c>
      <c r="H36" s="12">
        <v>39082.67229013156</v>
      </c>
      <c r="I36" s="12">
        <v>55785.09863541066</v>
      </c>
    </row>
    <row r="37" spans="1:9">
      <c r="A37" s="9" t="s">
        <v>144</v>
      </c>
      <c r="B37" s="9" t="s">
        <v>145</v>
      </c>
      <c r="C37" s="12">
        <v>19812.9053614997</v>
      </c>
      <c r="D37" s="12">
        <v>8361.634564692324</v>
      </c>
      <c r="E37" s="12">
        <v>20376.88657847308</v>
      </c>
      <c r="F37" s="12">
        <v>13903.36304451774</v>
      </c>
      <c r="G37" s="12">
        <v>32406.8511457401</v>
      </c>
      <c r="H37" s="12">
        <v>29476.60090972622</v>
      </c>
      <c r="I37" s="12">
        <v>71902.70097961085</v>
      </c>
    </row>
    <row r="38" spans="1:9">
      <c r="A38" s="9" t="s">
        <v>146</v>
      </c>
      <c r="B38" s="9" t="s">
        <v>147</v>
      </c>
      <c r="C38" s="12">
        <v>16672.84987888179</v>
      </c>
      <c r="D38" s="12">
        <v>19106.12574471335</v>
      </c>
      <c r="E38" s="12">
        <v>18931.54092922768</v>
      </c>
      <c r="F38" s="12">
        <v>22946.99168539816</v>
      </c>
      <c r="G38" s="12">
        <v>24452.78571896209</v>
      </c>
      <c r="H38" s="12">
        <v>44682.80121336447</v>
      </c>
      <c r="I38" s="12">
        <v>32210.89845710669</v>
      </c>
    </row>
    <row r="39" spans="1:9">
      <c r="A39" s="9" t="s">
        <v>150</v>
      </c>
      <c r="B39" s="9" t="s">
        <v>151</v>
      </c>
      <c r="C39" s="12">
        <v>8962.736373748608</v>
      </c>
      <c r="D39" s="12">
        <v>15072.30255839822</v>
      </c>
      <c r="E39" s="12">
        <v>13649.88876529477</v>
      </c>
      <c r="F39" s="12">
        <v>9240.823136818688</v>
      </c>
      <c r="G39" s="12">
        <v>22725.25027808676</v>
      </c>
      <c r="H39" s="12">
        <v>22391.54616240267</v>
      </c>
      <c r="I39" s="12">
        <v>18477.47497219132</v>
      </c>
    </row>
    <row r="40" spans="1:9">
      <c r="A40" s="9" t="s">
        <v>154</v>
      </c>
      <c r="B40" s="9" t="s">
        <v>155</v>
      </c>
      <c r="C40" s="12">
        <v>13421.0351471663</v>
      </c>
      <c r="D40" s="12">
        <v>15381.03780479702</v>
      </c>
      <c r="E40" s="12">
        <v>15092.02046375656</v>
      </c>
      <c r="F40" s="12">
        <v>19427.28057936349</v>
      </c>
      <c r="G40" s="12">
        <v>15812.90279715633</v>
      </c>
      <c r="H40" s="12">
        <v>24084.77842003853</v>
      </c>
      <c r="I40" s="12">
        <v>12623.74593050296</v>
      </c>
    </row>
    <row r="41" spans="1:9">
      <c r="A41" s="9" t="s">
        <v>158</v>
      </c>
      <c r="B41" s="9" t="s">
        <v>159</v>
      </c>
      <c r="C41" s="12">
        <v>8696.634289586627</v>
      </c>
      <c r="D41" s="12">
        <v>3670.65733002033</v>
      </c>
      <c r="E41" s="12">
        <v>10080.18974474814</v>
      </c>
      <c r="F41" s="12">
        <v>4235.37384233115</v>
      </c>
      <c r="G41" s="12">
        <v>8103.681951660267</v>
      </c>
      <c r="H41" s="12">
        <v>14372.03523831037</v>
      </c>
      <c r="I41" s="12">
        <v>3473.006550711543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2" max="2" width="26.7109375" customWidth="1"/>
    <col min="3" max="6" width="13.7109375" customWidth="1"/>
  </cols>
  <sheetData>
    <row r="1" spans="1:6">
      <c r="A1" s="7" t="s">
        <v>175</v>
      </c>
    </row>
    <row r="2" spans="1:6">
      <c r="A2" s="8" t="s">
        <v>176</v>
      </c>
      <c r="B2" s="8" t="s">
        <v>177</v>
      </c>
      <c r="C2" s="8" t="s">
        <v>178</v>
      </c>
      <c r="D2" s="8" t="s">
        <v>179</v>
      </c>
      <c r="E2" s="8" t="s">
        <v>180</v>
      </c>
      <c r="F2" s="8" t="s">
        <v>181</v>
      </c>
    </row>
    <row r="3" spans="1:6">
      <c r="A3" s="9">
        <v>1</v>
      </c>
      <c r="B3" s="9" t="s">
        <v>182</v>
      </c>
      <c r="C3" s="9" t="s">
        <v>183</v>
      </c>
      <c r="D3" s="12">
        <v>645005.3011857123</v>
      </c>
      <c r="E3" s="12">
        <v>437</v>
      </c>
      <c r="F3" s="12">
        <v>11</v>
      </c>
    </row>
    <row r="4" spans="1:6">
      <c r="A4" s="9">
        <v>2</v>
      </c>
      <c r="B4" s="9" t="s">
        <v>184</v>
      </c>
      <c r="C4" s="9" t="s">
        <v>183</v>
      </c>
      <c r="D4" s="12">
        <v>580235.6392500954</v>
      </c>
      <c r="E4" s="12">
        <v>366</v>
      </c>
      <c r="F4" s="12">
        <v>11</v>
      </c>
    </row>
    <row r="5" spans="1:6">
      <c r="A5" s="9">
        <v>3</v>
      </c>
      <c r="B5" s="9" t="s">
        <v>185</v>
      </c>
      <c r="C5" s="9" t="s">
        <v>183</v>
      </c>
      <c r="D5" s="12">
        <v>367204.5060652434</v>
      </c>
      <c r="E5" s="12">
        <v>175</v>
      </c>
      <c r="F5" s="12">
        <v>5</v>
      </c>
    </row>
    <row r="6" spans="1:6">
      <c r="A6" s="9">
        <v>4</v>
      </c>
      <c r="B6" s="9" t="s">
        <v>186</v>
      </c>
      <c r="C6" s="9" t="s">
        <v>183</v>
      </c>
      <c r="D6" s="12">
        <v>296895.1808870034</v>
      </c>
      <c r="E6" s="12">
        <v>295</v>
      </c>
      <c r="F6" s="12">
        <v>7</v>
      </c>
    </row>
    <row r="7" spans="1:6">
      <c r="A7" s="9">
        <v>5</v>
      </c>
      <c r="B7" s="9" t="s">
        <v>187</v>
      </c>
      <c r="C7" s="9" t="s">
        <v>183</v>
      </c>
      <c r="D7" s="12">
        <v>289381.7422368536</v>
      </c>
      <c r="E7" s="12">
        <v>212</v>
      </c>
      <c r="F7" s="12">
        <v>7</v>
      </c>
    </row>
    <row r="8" spans="1:6">
      <c r="A8" s="9">
        <v>6</v>
      </c>
      <c r="B8" s="9" t="s">
        <v>188</v>
      </c>
      <c r="C8" s="9" t="s">
        <v>189</v>
      </c>
      <c r="D8" s="12">
        <v>287643.6045284477</v>
      </c>
      <c r="E8" s="12">
        <v>244</v>
      </c>
      <c r="F8" s="12">
        <v>6</v>
      </c>
    </row>
    <row r="9" spans="1:6">
      <c r="A9" s="9">
        <v>7</v>
      </c>
      <c r="B9" s="9" t="s">
        <v>190</v>
      </c>
      <c r="C9" s="9" t="s">
        <v>183</v>
      </c>
      <c r="D9" s="12">
        <v>269052.8007953112</v>
      </c>
      <c r="E9" s="12">
        <v>126</v>
      </c>
      <c r="F9" s="12">
        <v>9</v>
      </c>
    </row>
    <row r="10" spans="1:6">
      <c r="A10" s="9">
        <v>8</v>
      </c>
      <c r="B10" s="9" t="s">
        <v>191</v>
      </c>
      <c r="C10" s="9" t="s">
        <v>183</v>
      </c>
      <c r="D10" s="12">
        <v>250699.1130997058</v>
      </c>
      <c r="E10" s="12">
        <v>152</v>
      </c>
      <c r="F10" s="12">
        <v>2</v>
      </c>
    </row>
    <row r="11" spans="1:6">
      <c r="A11" s="9">
        <v>9</v>
      </c>
      <c r="B11" s="9" t="s">
        <v>192</v>
      </c>
      <c r="C11" s="9" t="s">
        <v>183</v>
      </c>
      <c r="D11" s="12">
        <v>243379.8276019793</v>
      </c>
      <c r="E11" s="12">
        <v>135</v>
      </c>
      <c r="F11" s="12">
        <v>2</v>
      </c>
    </row>
    <row r="12" spans="1:6">
      <c r="A12" s="9">
        <v>10</v>
      </c>
      <c r="B12" s="9" t="s">
        <v>193</v>
      </c>
      <c r="C12" s="9" t="s">
        <v>189</v>
      </c>
      <c r="D12" s="12">
        <v>243342.5204167321</v>
      </c>
      <c r="E12" s="12">
        <v>300</v>
      </c>
      <c r="F12" s="12">
        <v>7</v>
      </c>
    </row>
    <row r="13" spans="1:6">
      <c r="A13" s="9">
        <v>11</v>
      </c>
      <c r="B13" s="9" t="s">
        <v>194</v>
      </c>
      <c r="C13" s="9" t="s">
        <v>183</v>
      </c>
      <c r="D13" s="12">
        <v>239543.6779217715</v>
      </c>
      <c r="E13" s="12">
        <v>100</v>
      </c>
      <c r="F13" s="12">
        <v>1</v>
      </c>
    </row>
    <row r="14" spans="1:6">
      <c r="A14" s="9">
        <v>12</v>
      </c>
      <c r="B14" s="9" t="s">
        <v>195</v>
      </c>
      <c r="C14" s="9" t="s">
        <v>183</v>
      </c>
      <c r="D14" s="12">
        <v>233133.8491326163</v>
      </c>
      <c r="E14" s="12">
        <v>141</v>
      </c>
      <c r="F14" s="12">
        <v>5</v>
      </c>
    </row>
    <row r="15" spans="1:6">
      <c r="A15" s="9">
        <v>13</v>
      </c>
      <c r="B15" s="9" t="s">
        <v>196</v>
      </c>
      <c r="C15" s="9" t="s">
        <v>183</v>
      </c>
      <c r="D15" s="12">
        <v>221826.2777525313</v>
      </c>
      <c r="E15" s="12">
        <v>148</v>
      </c>
      <c r="F15" s="12">
        <v>4</v>
      </c>
    </row>
    <row r="16" spans="1:6">
      <c r="A16" s="9">
        <v>14</v>
      </c>
      <c r="B16" s="9" t="s">
        <v>197</v>
      </c>
      <c r="C16" s="9" t="s">
        <v>198</v>
      </c>
      <c r="D16" s="12">
        <v>221016.185916169</v>
      </c>
      <c r="E16" s="12">
        <v>373</v>
      </c>
      <c r="F16" s="12">
        <v>17</v>
      </c>
    </row>
    <row r="17" spans="1:6">
      <c r="A17" s="9">
        <v>15</v>
      </c>
      <c r="B17" s="9" t="s">
        <v>199</v>
      </c>
      <c r="C17" s="9" t="s">
        <v>183</v>
      </c>
      <c r="D17" s="12">
        <v>210890.9948330472</v>
      </c>
      <c r="E17" s="12">
        <v>122</v>
      </c>
      <c r="F17" s="1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4" width="14.7109375" customWidth="1"/>
  </cols>
  <sheetData>
    <row r="1" spans="1:4">
      <c r="A1" s="7" t="s">
        <v>200</v>
      </c>
    </row>
    <row r="2" spans="1:4">
      <c r="A2" s="8" t="s">
        <v>39</v>
      </c>
      <c r="B2" s="8" t="s">
        <v>201</v>
      </c>
      <c r="C2" s="8" t="s">
        <v>202</v>
      </c>
      <c r="D2" s="8" t="s">
        <v>203</v>
      </c>
    </row>
    <row r="3" spans="1:4">
      <c r="A3" s="9" t="s">
        <v>105</v>
      </c>
      <c r="B3" s="18">
        <v>4.3277</v>
      </c>
      <c r="C3" s="18">
        <v>4.3149</v>
      </c>
      <c r="D3" s="18">
        <v>4</v>
      </c>
    </row>
    <row r="4" spans="1:4">
      <c r="A4" s="9" t="s">
        <v>161</v>
      </c>
      <c r="B4" s="18">
        <v>1.7708</v>
      </c>
      <c r="C4" s="18">
        <v>1.7638</v>
      </c>
      <c r="D4" s="18">
        <v>1.65</v>
      </c>
    </row>
    <row r="5" spans="1:4">
      <c r="A5" s="9" t="s">
        <v>121</v>
      </c>
      <c r="B5" s="18">
        <v>1.6161</v>
      </c>
      <c r="C5" s="18">
        <v>1.6356</v>
      </c>
      <c r="D5" s="18">
        <v>1.48</v>
      </c>
    </row>
    <row r="6" spans="1:4">
      <c r="A6" s="9" t="s">
        <v>76</v>
      </c>
      <c r="B6" s="18">
        <v>0.9274</v>
      </c>
      <c r="C6" s="18">
        <v>0.9303</v>
      </c>
      <c r="D6" s="18">
        <v>0.95</v>
      </c>
    </row>
    <row r="7" spans="1:4">
      <c r="A7" s="9" t="s">
        <v>141</v>
      </c>
      <c r="B7" s="18">
        <v>8.1563</v>
      </c>
      <c r="C7" s="18">
        <v>8.2552</v>
      </c>
      <c r="D7" s="18">
        <v>7.8</v>
      </c>
    </row>
    <row r="8" spans="1:4">
      <c r="A8" s="9" t="s">
        <v>101</v>
      </c>
      <c r="B8" s="18">
        <v>7.4628</v>
      </c>
      <c r="C8" s="18">
        <v>7.4578</v>
      </c>
      <c r="D8" s="18">
        <v>7.46</v>
      </c>
    </row>
    <row r="9" spans="1:4">
      <c r="A9" s="9" t="s">
        <v>54</v>
      </c>
      <c r="B9" s="18">
        <v>1</v>
      </c>
      <c r="C9" s="18">
        <v>1</v>
      </c>
      <c r="D9" s="18">
        <v>1</v>
      </c>
    </row>
    <row r="10" spans="1:4">
      <c r="A10" s="9" t="s">
        <v>84</v>
      </c>
      <c r="B10" s="18">
        <v>0.8694</v>
      </c>
      <c r="C10" s="18">
        <v>0.8723</v>
      </c>
      <c r="D10" s="18">
        <v>0.85</v>
      </c>
    </row>
    <row r="11" spans="1:4">
      <c r="A11" s="9" t="s">
        <v>149</v>
      </c>
      <c r="B11" s="18">
        <v>9.1646</v>
      </c>
      <c r="C11" s="18">
        <v>9.157999999999999</v>
      </c>
      <c r="D11" s="18">
        <v>8.449999999999999</v>
      </c>
    </row>
    <row r="12" spans="1:4">
      <c r="A12" s="9" t="s">
        <v>125</v>
      </c>
      <c r="B12" s="18">
        <v>172.39</v>
      </c>
      <c r="C12" s="18">
        <v>173.79</v>
      </c>
      <c r="D12" s="18">
        <v>162</v>
      </c>
    </row>
    <row r="13" spans="1:4">
      <c r="A13" s="9" t="s">
        <v>133</v>
      </c>
      <c r="B13" s="18">
        <v>1629.78</v>
      </c>
      <c r="C13" s="18">
        <v>1623.62</v>
      </c>
      <c r="D13" s="18">
        <v>1480</v>
      </c>
    </row>
    <row r="14" spans="1:4">
      <c r="A14" s="9" t="s">
        <v>157</v>
      </c>
      <c r="B14" s="18">
        <v>1.5051</v>
      </c>
      <c r="C14" s="18">
        <v>1.509</v>
      </c>
      <c r="D14" s="18">
        <v>1.45</v>
      </c>
    </row>
    <row r="15" spans="1:4">
      <c r="A15" s="9" t="s">
        <v>153</v>
      </c>
      <c r="B15" s="18">
        <v>35.96</v>
      </c>
      <c r="C15" s="18">
        <v>35.81</v>
      </c>
      <c r="D15" s="18">
        <v>34.8</v>
      </c>
    </row>
    <row r="16" spans="1:4">
      <c r="A16" s="9" t="s">
        <v>109</v>
      </c>
      <c r="B16" s="18">
        <v>1.1784</v>
      </c>
      <c r="C16" s="18">
        <v>1.1749</v>
      </c>
      <c r="D16" s="18">
        <v>1.08</v>
      </c>
    </row>
    <row r="19" spans="1:1">
      <c r="A19" s="6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Summary</vt:lpstr>
      <vt:lpstr>Stores</vt:lpstr>
      <vt:lpstr>Country</vt:lpstr>
      <vt:lpstr>Daily</vt:lpstr>
      <vt:lpstr>Top styles</vt:lpstr>
      <vt:lpstr>FX</vt:lpstr>
    </vt:vector>
  </TitlesOfParts>
  <Company>Moncler S.p.A.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Sales Flash W37 2026</dc:title>
  <dc:creator>Retail Controlling - M. Galli</dc:creator>
  <dc:description>version 1.0</dc:description>
  <cp:lastModifiedBy>Retail Controlling - M. Galli</cp:lastModifiedBy>
  <dcterms:created xsi:type="dcterms:W3CDTF">2026-10-22T16:02:54Z</dcterms:created>
  <dcterms:modified xsi:type="dcterms:W3CDTF">2026-10-22T16:02:54Z</dcterms:modified>
</cp:coreProperties>
</file>