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Summary" sheetId="2" r:id="rId2"/>
    <sheet name="Stores" sheetId="3" r:id="rId3"/>
    <sheet name="Country" sheetId="4" r:id="rId4"/>
    <sheet name="Daily" sheetId="5" r:id="rId5"/>
    <sheet name="Top styles" sheetId="6" r:id="rId6"/>
    <sheet name="FX" sheetId="7" r:id="rId7"/>
  </sheets>
  <calcPr calcId="124519" fullCalcOnLoad="1"/>
</workbook>
</file>

<file path=xl/sharedStrings.xml><?xml version="1.0" encoding="utf-8"?>
<sst xmlns="http://schemas.openxmlformats.org/spreadsheetml/2006/main" count="510" uniqueCount="214">
  <si>
    <t>MONCLER  |  Retail Controlling</t>
  </si>
  <si>
    <t>WEEKLY SALES FLASH - WEEK 40 / 2026</t>
  </si>
  <si>
    <t>Fiscal week 40: Mon 28/09/2026 - Sun 04/10/2026   |   LY comparable: wk 40 2025 (29/09 - 05/10/2025)</t>
  </si>
  <si>
    <t>Version 2.0 - issued 06/10/2026 - distribution: ExCom, Regional MDs, Country Managers, Merchandising</t>
  </si>
  <si>
    <t>Definitions</t>
  </si>
  <si>
    <t>Net sales = gross sales - discounts - returns (returns booked on the processing date), excluding VAT/sales taxes.</t>
  </si>
  <si>
    <t>Reported EUR at average October 2026 rates (month of the week's Thursday); LY at average October 2025 rates. See sheet FX.</t>
  </si>
  <si>
    <t>LFL = stores trading at least 5 days in both CY week and LY week; growth at constant FX (LY restated at CY rates).</t>
  </si>
  <si>
    <t>Budget comparison at budget FX rates (BI standard). Retail DOS only - e-commerce and wholesale excluded.</t>
  </si>
  <si>
    <t>Traffic from door counters (Xovis); shop-in-shops use department-store feed when available. Conversion = receipts / visitors.</t>
  </si>
  <si>
    <t>Change log</t>
  </si>
  <si>
    <t>v2 (07/10/2026) replaces v1 of 06/10/2026:</t>
  </si>
  <si>
    <t>- KRW average rate corrected to 1,636.9 (v1 used 1,366.9 - typo in FX upload). Korea and APAC restated.</t>
  </si>
  <si>
    <t>- Dubai Mall (plant 1801) appeared twice in v1 store list (double feed load), EMEA total restated.</t>
  </si>
  <si>
    <t>Please discard v1.</t>
  </si>
  <si>
    <t>Comments of the week</t>
  </si>
  <si>
    <t>- Golden Week from 30/09: Chinese tourists in Milan/Paris/London; domestic travel in CN stores.</t>
  </si>
  <si>
    <t>- Paris Fashion Week 29/09-07/10.</t>
  </si>
  <si>
    <t>- CPH01: reduced opening hours 28/09-04/10 (staff shortage).</t>
  </si>
  <si>
    <t>- TIB vest: first customer returns for zipper defect (reason code DEF) from 28/09 - see Quality.</t>
  </si>
  <si>
    <t>Confidential - Internal use only. Source: SAP BW / POS (Xstore), store door counters. Retail Controlling.</t>
  </si>
  <si>
    <t>Weekly flash W40 2026 - Summary by region (EUR k)</t>
  </si>
  <si>
    <t>28/09 - 04/10/2026  |  v2.0</t>
  </si>
  <si>
    <t>Region</t>
  </si>
  <si>
    <t>Net Sales
Wk (EUR k)</t>
  </si>
  <si>
    <t>LY Wk
(EUR k)</t>
  </si>
  <si>
    <t>Δ% rep.</t>
  </si>
  <si>
    <t>Δ% LFL
(const. FX)</t>
  </si>
  <si>
    <t>Budget Wk
(EUR k, bud FX)</t>
  </si>
  <si>
    <t>vs Bud %</t>
  </si>
  <si>
    <t>Units</t>
  </si>
  <si>
    <t>Returns
units</t>
  </si>
  <si>
    <t>Traffic</t>
  </si>
  <si>
    <t>Conv. %</t>
  </si>
  <si>
    <t>MTD (EUR k)</t>
  </si>
  <si>
    <t>MTD Δ%
LY cFX</t>
  </si>
  <si>
    <t>EMEA</t>
  </si>
  <si>
    <t>AMERICAS</t>
  </si>
  <si>
    <t>APAC</t>
  </si>
  <si>
    <t>TOTAL RETAIL</t>
  </si>
  <si>
    <t>MTD = 01/10 to 04/10, EUR at the same rates as the week, LY = same days -364.</t>
  </si>
  <si>
    <t>Store detail W40 2026</t>
  </si>
  <si>
    <t>Plant</t>
  </si>
  <si>
    <t>Store</t>
  </si>
  <si>
    <t>Country</t>
  </si>
  <si>
    <t>Ccy</t>
  </si>
  <si>
    <t>Net Sales LC</t>
  </si>
  <si>
    <t>Net Sales EUR</t>
  </si>
  <si>
    <t>LY EUR</t>
  </si>
  <si>
    <t>LFL</t>
  </si>
  <si>
    <t>Δ% LFL cFX</t>
  </si>
  <si>
    <t>Budget EUR (bud FX)</t>
  </si>
  <si>
    <t>Ret. units</t>
  </si>
  <si>
    <t>Ret. %</t>
  </si>
  <si>
    <t>UPT</t>
  </si>
  <si>
    <t>ATV EUR</t>
  </si>
  <si>
    <t>Days open</t>
  </si>
  <si>
    <t>1001</t>
  </si>
  <si>
    <t>Milano Montenapoleone</t>
  </si>
  <si>
    <t>Italy</t>
  </si>
  <si>
    <t>EUR</t>
  </si>
  <si>
    <t>Y</t>
  </si>
  <si>
    <t>1002</t>
  </si>
  <si>
    <t>Milano Rinascente Duomo</t>
  </si>
  <si>
    <t>1004</t>
  </si>
  <si>
    <t>Roma Via Condotti</t>
  </si>
  <si>
    <t>1006</t>
  </si>
  <si>
    <t>Venezia San Marco</t>
  </si>
  <si>
    <t>1011</t>
  </si>
  <si>
    <t>Courmayeur</t>
  </si>
  <si>
    <t>n.a.</t>
  </si>
  <si>
    <t>N</t>
  </si>
  <si>
    <t>n.m.</t>
  </si>
  <si>
    <t>1012</t>
  </si>
  <si>
    <t>Cortina d'Ampezzo</t>
  </si>
  <si>
    <t>1101</t>
  </si>
  <si>
    <t>Paris Saint-Honoré</t>
  </si>
  <si>
    <t>France</t>
  </si>
  <si>
    <t>1102</t>
  </si>
  <si>
    <t>Paris Galeries Lafayette Haussmann</t>
  </si>
  <si>
    <t>1105</t>
  </si>
  <si>
    <t>Cannes La Croisette</t>
  </si>
  <si>
    <t>1201</t>
  </si>
  <si>
    <t>Genève Rue du Rhône</t>
  </si>
  <si>
    <t>Switzerland</t>
  </si>
  <si>
    <t>CHF</t>
  </si>
  <si>
    <t>1202</t>
  </si>
  <si>
    <t>Zürich Bahnhofstrasse</t>
  </si>
  <si>
    <t>1205</t>
  </si>
  <si>
    <t>St. Moritz Via Serlas</t>
  </si>
  <si>
    <t>1301</t>
  </si>
  <si>
    <t>London New Bond Street</t>
  </si>
  <si>
    <t>United Kingdom</t>
  </si>
  <si>
    <t>GBP</t>
  </si>
  <si>
    <t>1302</t>
  </si>
  <si>
    <t>London Harrods</t>
  </si>
  <si>
    <t>1401</t>
  </si>
  <si>
    <t>München Maximilianstraße</t>
  </si>
  <si>
    <t>Germany</t>
  </si>
  <si>
    <t>1402</t>
  </si>
  <si>
    <t>Berlin KaDeWe</t>
  </si>
  <si>
    <t>1501</t>
  </si>
  <si>
    <t>Madrid Calle Serrano</t>
  </si>
  <si>
    <t>Spain</t>
  </si>
  <si>
    <t>1601</t>
  </si>
  <si>
    <t>Amsterdam P.C. Hooftstraat</t>
  </si>
  <si>
    <t>Netherlands</t>
  </si>
  <si>
    <t>1701</t>
  </si>
  <si>
    <t>København Østergade</t>
  </si>
  <si>
    <t>Denmark</t>
  </si>
  <si>
    <t>DKK</t>
  </si>
  <si>
    <t>1801</t>
  </si>
  <si>
    <t>Dubai Mall Fashion Avenue</t>
  </si>
  <si>
    <t>United Arab Emirates</t>
  </si>
  <si>
    <t>AED</t>
  </si>
  <si>
    <t>2001</t>
  </si>
  <si>
    <t>New York Madison Avenue</t>
  </si>
  <si>
    <t>United States</t>
  </si>
  <si>
    <t>USD</t>
  </si>
  <si>
    <t>2002</t>
  </si>
  <si>
    <t>New York SoHo</t>
  </si>
  <si>
    <t>2003</t>
  </si>
  <si>
    <t>Miami Design District</t>
  </si>
  <si>
    <t>2005</t>
  </si>
  <si>
    <t>Beverly Hills Rodeo Drive</t>
  </si>
  <si>
    <t>2007</t>
  </si>
  <si>
    <t>Aspen</t>
  </si>
  <si>
    <t>2101</t>
  </si>
  <si>
    <t>Toronto Yorkville</t>
  </si>
  <si>
    <t>Canada</t>
  </si>
  <si>
    <t>CAD</t>
  </si>
  <si>
    <t>3001</t>
  </si>
  <si>
    <t>Tokyo Ginza</t>
  </si>
  <si>
    <t>Japan</t>
  </si>
  <si>
    <t>JPY</t>
  </si>
  <si>
    <t>3002</t>
  </si>
  <si>
    <t>Tokyo Omotesando</t>
  </si>
  <si>
    <t>3003</t>
  </si>
  <si>
    <t>Osaka Shinsaibashi</t>
  </si>
  <si>
    <t>3101</t>
  </si>
  <si>
    <t>Seoul Cheongdam Flagship</t>
  </si>
  <si>
    <t>South Korea</t>
  </si>
  <si>
    <t>KRW</t>
  </si>
  <si>
    <t>3102</t>
  </si>
  <si>
    <t>Seoul Hyundai Apgujeong</t>
  </si>
  <si>
    <t>3103</t>
  </si>
  <si>
    <t>Busan Shinsegae Centum City</t>
  </si>
  <si>
    <t>3201</t>
  </si>
  <si>
    <t>Shanghai Plaza 66</t>
  </si>
  <si>
    <t>China</t>
  </si>
  <si>
    <t>CNY</t>
  </si>
  <si>
    <t>3202</t>
  </si>
  <si>
    <t>Beijing SKP</t>
  </si>
  <si>
    <t>3203</t>
  </si>
  <si>
    <t>Chengdu Taikoo Li</t>
  </si>
  <si>
    <t>3301</t>
  </si>
  <si>
    <t>Hong Kong Canton Road</t>
  </si>
  <si>
    <t>Hong Kong SAR</t>
  </si>
  <si>
    <t>HKD</t>
  </si>
  <si>
    <t>3401</t>
  </si>
  <si>
    <t>Taipei 101</t>
  </si>
  <si>
    <t>Taiwan</t>
  </si>
  <si>
    <t>TWD</t>
  </si>
  <si>
    <t>3501</t>
  </si>
  <si>
    <t>Singapore Marina Bay Sands</t>
  </si>
  <si>
    <t>Singapore</t>
  </si>
  <si>
    <t>SGD</t>
  </si>
  <si>
    <t>3601</t>
  </si>
  <si>
    <t>Sydney Castlereagh Street</t>
  </si>
  <si>
    <t>Australia</t>
  </si>
  <si>
    <t>AUD</t>
  </si>
  <si>
    <t>TOTAL</t>
  </si>
  <si>
    <t>Country view W40 2026</t>
  </si>
  <si>
    <t>Net Sales EUR k</t>
  </si>
  <si>
    <t>LY EUR k</t>
  </si>
  <si>
    <t>Daily net sales EUR (current FX) - W40</t>
  </si>
  <si>
    <t>Mon 28/09</t>
  </si>
  <si>
    <t>Tue 29/09</t>
  </si>
  <si>
    <t>Wed 30/09</t>
  </si>
  <si>
    <t>Thu 01/10</t>
  </si>
  <si>
    <t>Fri 02/10</t>
  </si>
  <si>
    <t>Sat 03/10</t>
  </si>
  <si>
    <t>Sun 04/10</t>
  </si>
  <si>
    <t>closed</t>
  </si>
  <si>
    <t>Top 15 styles W40 - net sales EUR (all stores)</t>
  </si>
  <si>
    <t>#</t>
  </si>
  <si>
    <t>Style</t>
  </si>
  <si>
    <t>Category</t>
  </si>
  <si>
    <t>Net sales EUR</t>
  </si>
  <si>
    <t>Units sold</t>
  </si>
  <si>
    <t>Units returned</t>
  </si>
  <si>
    <t>MAYA</t>
  </si>
  <si>
    <t>Outerwear</t>
  </si>
  <si>
    <t>MAIRE</t>
  </si>
  <si>
    <t>HERMINE</t>
  </si>
  <si>
    <t>BADY</t>
  </si>
  <si>
    <t>MONTCLA</t>
  </si>
  <si>
    <t>ILVARO</t>
  </si>
  <si>
    <t>TRICOT PADDED CARDIGAN</t>
  </si>
  <si>
    <t>Knitwear</t>
  </si>
  <si>
    <t>FLAMMETTE</t>
  </si>
  <si>
    <t>KARAKORUM</t>
  </si>
  <si>
    <t>MONTGENEVRE</t>
  </si>
  <si>
    <t>ARNEB</t>
  </si>
  <si>
    <t>LOGO CARDIGAN</t>
  </si>
  <si>
    <t>POLARIS CAPE</t>
  </si>
  <si>
    <t>AMBRINE</t>
  </si>
  <si>
    <t>LOGO HOODIE</t>
  </si>
  <si>
    <t>Jersey</t>
  </si>
  <si>
    <t>Exchange rates used (local currency per 1 EUR)</t>
  </si>
  <si>
    <t>CY avg Oct-26</t>
  </si>
  <si>
    <t>LY avg Oct-25</t>
  </si>
  <si>
    <t>Budget 2026</t>
  </si>
  <si>
    <t>Source: Treasury, ECB reference rates monthly average. October = month-to-date average at issue date.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</si>
</sst>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+0.0%;[Red]-0.0%;0.0%"/>
    <numFmt numFmtId="166" formatCode="#,##0"/>
    <numFmt numFmtId="167" formatCode="0.0%"/>
    <numFmt numFmtId="168" formatCode="#,##0.000"/>
  </numFmts>
  <fonts count="13">
    <font>
      <sz val="11"/>
      <color theme="1"/>
      <name val="Calibri"/>
      <family val="2"/>
      <scheme val="minor"/>
    </font>
    <font>
      <b/>
      <sz val="10"/>
      <color rgb="FF888888"/>
      <name val="Arial"/>
      <family val="2"/>
    </font>
    <font>
      <b/>
      <sz val="20"/>
      <color rgb="FF1F2A44"/>
      <name val="Arial"/>
      <family val="2"/>
    </font>
    <font>
      <i/>
      <sz val="9"/>
      <color rgb="FF555555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rgb="FFC00000"/>
      <name val="Arial"/>
      <family val="2"/>
    </font>
    <font>
      <sz val="9"/>
      <color rgb="FFC00000"/>
      <name val="Arial"/>
      <family val="2"/>
    </font>
    <font>
      <i/>
      <sz val="8"/>
      <color rgb="FF888888"/>
      <name val="Arial"/>
      <family val="2"/>
    </font>
    <font>
      <b/>
      <sz val="14"/>
      <color rgb="FF1F2A44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E7EB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164" fontId="11" fillId="0" borderId="1" xfId="0" applyNumberFormat="1" applyFont="1" applyBorder="1"/>
    <xf numFmtId="165" fontId="11" fillId="0" borderId="1" xfId="0" applyNumberFormat="1" applyFont="1" applyBorder="1"/>
    <xf numFmtId="166" fontId="11" fillId="0" borderId="1" xfId="0" applyNumberFormat="1" applyFont="1" applyBorder="1"/>
    <xf numFmtId="167" fontId="11" fillId="0" borderId="1" xfId="0" applyNumberFormat="1" applyFont="1" applyBorder="1"/>
    <xf numFmtId="0" fontId="12" fillId="3" borderId="1" xfId="0" applyFont="1" applyFill="1" applyBorder="1"/>
    <xf numFmtId="164" fontId="12" fillId="3" borderId="1" xfId="0" applyNumberFormat="1" applyFont="1" applyFill="1" applyBorder="1"/>
    <xf numFmtId="165" fontId="12" fillId="3" borderId="1" xfId="0" applyNumberFormat="1" applyFont="1" applyFill="1" applyBorder="1"/>
    <xf numFmtId="166" fontId="12" fillId="3" borderId="1" xfId="0" applyNumberFormat="1" applyFont="1" applyFill="1" applyBorder="1"/>
    <xf numFmtId="168" fontId="1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Net sales by region, EUR 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CY</c:v>
          </c:tx>
          <c:spPr>
            <a:solidFill>
              <a:srgbClr val="1F2A44"/>
            </a:solidFill>
          </c:spPr>
          <c:cat>
            <c:strRef>
              <c:f>Summary!$A$5:$A$7</c:f>
              <c:strCache>
                <c:ptCount val="3"/>
                <c:pt idx="0">
                  <c:v>EMEA</c:v>
                </c:pt>
                <c:pt idx="1">
                  <c:v>AMERICAS</c:v>
                </c:pt>
                <c:pt idx="2">
                  <c:v>APAC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4137.486196939221</c:v>
                </c:pt>
                <c:pt idx="1">
                  <c:v>926.284478074676</c:v>
                </c:pt>
                <c:pt idx="2">
                  <c:v>4747.419879572847</c:v>
                </c:pt>
              </c:numCache>
            </c:numRef>
          </c:val>
        </c:ser>
        <c:ser>
          <c:idx val="1"/>
          <c:order val="1"/>
          <c:tx>
            <c:v>LY</c:v>
          </c:tx>
          <c:spPr>
            <a:solidFill>
              <a:srgbClr val="A9B4C8"/>
            </a:solidFill>
          </c:spPr>
          <c:cat>
            <c:strRef>
              <c:f>Summary!$A$5:$A$7</c:f>
              <c:strCache>
                <c:ptCount val="3"/>
                <c:pt idx="0">
                  <c:v>EMEA</c:v>
                </c:pt>
                <c:pt idx="1">
                  <c:v>AMERICAS</c:v>
                </c:pt>
                <c:pt idx="2">
                  <c:v>APAC</c:v>
                </c:pt>
              </c:strCache>
            </c:strRef>
          </c:cat>
          <c:val>
            <c:numRef>
              <c:f>Summary!$C$5:$C$7</c:f>
              <c:numCache>
                <c:formatCode>General</c:formatCode>
                <c:ptCount val="3"/>
                <c:pt idx="0">
                  <c:v>3746.419136694343</c:v>
                </c:pt>
                <c:pt idx="1">
                  <c:v>863.3800182033046</c:v>
                </c:pt>
                <c:pt idx="2">
                  <c:v>3898.899789877963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5</xdr:col>
      <xdr:colOff>581025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29"/>
  <sheetViews>
    <sheetView showGridLines="0" tabSelected="1" workbookViewId="0"/>
  </sheetViews>
  <sheetFormatPr defaultRowHeight="15"/>
  <cols>
    <col min="1" max="1" width="3.7109375" customWidth="1"/>
    <col min="2" max="2" width="110.7109375" customWidth="1"/>
  </cols>
  <sheetData>
    <row r="2" spans="2:2">
      <c r="B2" s="1" t="s">
        <v>0</v>
      </c>
    </row>
    <row r="4" spans="2:2">
      <c r="B4" s="2" t="s">
        <v>1</v>
      </c>
    </row>
    <row r="5" spans="2:2">
      <c r="B5" s="3" t="s">
        <v>2</v>
      </c>
    </row>
    <row r="6" spans="2:2">
      <c r="B6" s="3" t="s">
        <v>3</v>
      </c>
    </row>
    <row r="8" spans="2:2">
      <c r="B8" s="4" t="s">
        <v>4</v>
      </c>
    </row>
    <row r="9" spans="2:2">
      <c r="B9" s="5" t="s">
        <v>5</v>
      </c>
    </row>
    <row r="10" spans="2:2">
      <c r="B10" s="5" t="s">
        <v>6</v>
      </c>
    </row>
    <row r="11" spans="2:2">
      <c r="B11" s="5" t="s">
        <v>7</v>
      </c>
    </row>
    <row r="12" spans="2:2">
      <c r="B12" s="5" t="s">
        <v>8</v>
      </c>
    </row>
    <row r="13" spans="2:2">
      <c r="B13" s="5" t="s">
        <v>9</v>
      </c>
    </row>
    <row r="16" spans="2:2">
      <c r="B16" s="6" t="s">
        <v>10</v>
      </c>
    </row>
    <row r="17" spans="2:2">
      <c r="B17" s="7" t="s">
        <v>11</v>
      </c>
    </row>
    <row r="18" spans="2:2">
      <c r="B18" s="7" t="s">
        <v>12</v>
      </c>
    </row>
    <row r="19" spans="2:2">
      <c r="B19" s="7" t="s">
        <v>13</v>
      </c>
    </row>
    <row r="20" spans="2:2">
      <c r="B20" s="7" t="s">
        <v>14</v>
      </c>
    </row>
    <row r="22" spans="2:2">
      <c r="B22" s="4" t="s">
        <v>15</v>
      </c>
    </row>
    <row r="23" spans="2:2">
      <c r="B23" t="s">
        <v>16</v>
      </c>
    </row>
    <row r="24" spans="2:2">
      <c r="B24" t="s">
        <v>17</v>
      </c>
    </row>
    <row r="25" spans="2:2">
      <c r="B25" t="s">
        <v>18</v>
      </c>
    </row>
    <row r="26" spans="2:2">
      <c r="B26" t="s">
        <v>19</v>
      </c>
    </row>
    <row r="29" spans="2:2">
      <c r="B29" s="8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showGridLines="0" workbookViewId="0"/>
  </sheetViews>
  <sheetFormatPr defaultRowHeight="15"/>
  <cols>
    <col min="1" max="1" width="18.7109375" customWidth="1"/>
    <col min="2" max="13" width="11.7109375" customWidth="1"/>
  </cols>
  <sheetData>
    <row r="1" spans="1:13">
      <c r="A1" s="9" t="s">
        <v>21</v>
      </c>
    </row>
    <row r="2" spans="1:13">
      <c r="A2" s="3" t="s">
        <v>22</v>
      </c>
    </row>
    <row r="4" spans="1:13" ht="30" customHeight="1">
      <c r="A4" s="10" t="s">
        <v>23</v>
      </c>
      <c r="B4" s="10" t="s">
        <v>24</v>
      </c>
      <c r="C4" s="10" t="s">
        <v>25</v>
      </c>
      <c r="D4" s="10" t="s">
        <v>26</v>
      </c>
      <c r="E4" s="10" t="s">
        <v>27</v>
      </c>
      <c r="F4" s="10" t="s">
        <v>28</v>
      </c>
      <c r="G4" s="10" t="s">
        <v>29</v>
      </c>
      <c r="H4" s="10" t="s">
        <v>30</v>
      </c>
      <c r="I4" s="10" t="s">
        <v>31</v>
      </c>
      <c r="J4" s="10" t="s">
        <v>32</v>
      </c>
      <c r="K4" s="10" t="s">
        <v>33</v>
      </c>
      <c r="L4" s="10" t="s">
        <v>34</v>
      </c>
      <c r="M4" s="10" t="s">
        <v>35</v>
      </c>
    </row>
    <row r="5" spans="1:13">
      <c r="A5" s="11" t="s">
        <v>36</v>
      </c>
      <c r="B5" s="12">
        <v>4137.486196939221</v>
      </c>
      <c r="C5" s="12">
        <v>3746.419136694343</v>
      </c>
      <c r="D5" s="13">
        <v>0.1043842255701097</v>
      </c>
      <c r="E5" s="13">
        <v>0.1026713345319055</v>
      </c>
      <c r="F5" s="12">
        <v>4065.417137737697</v>
      </c>
      <c r="G5" s="13">
        <v>0.0214041657508055</v>
      </c>
      <c r="H5" s="14">
        <v>4039</v>
      </c>
      <c r="I5" s="14">
        <v>218</v>
      </c>
      <c r="J5" s="14">
        <v>26588</v>
      </c>
      <c r="K5" s="15">
        <v>0.08729502030991425</v>
      </c>
      <c r="L5" s="12">
        <v>2786.187857814332</v>
      </c>
      <c r="M5" s="13">
        <v>0.1008457310135686</v>
      </c>
    </row>
    <row r="6" spans="1:13">
      <c r="A6" s="11" t="s">
        <v>37</v>
      </c>
      <c r="B6" s="12">
        <v>926.284478074676</v>
      </c>
      <c r="C6" s="12">
        <v>863.3800182033046</v>
      </c>
      <c r="D6" s="13">
        <v>0.07285836890489517</v>
      </c>
      <c r="E6" s="13">
        <v>0.08051962458078377</v>
      </c>
      <c r="F6" s="12">
        <v>1156.636136136136</v>
      </c>
      <c r="G6" s="13">
        <v>-0.127742970775336</v>
      </c>
      <c r="H6" s="14">
        <v>937</v>
      </c>
      <c r="I6" s="14">
        <v>84</v>
      </c>
      <c r="J6" s="14">
        <v>6077</v>
      </c>
      <c r="K6" s="15">
        <v>0.09626460424551588</v>
      </c>
      <c r="L6" s="12">
        <v>599.0356472118397</v>
      </c>
      <c r="M6" s="13">
        <v>0.01549219637086763</v>
      </c>
    </row>
    <row r="7" spans="1:13">
      <c r="A7" s="11" t="s">
        <v>38</v>
      </c>
      <c r="B7" s="12">
        <v>4747.419879572847</v>
      </c>
      <c r="C7" s="12">
        <v>3898.899789877963</v>
      </c>
      <c r="D7" s="13">
        <v>0.2176306484967243</v>
      </c>
      <c r="E7" s="13">
        <v>0.207698249849418</v>
      </c>
      <c r="F7" s="12">
        <v>4977.216590980066</v>
      </c>
      <c r="G7" s="13">
        <v>0.02114664031512614</v>
      </c>
      <c r="H7" s="14">
        <v>3989</v>
      </c>
      <c r="I7" s="14">
        <v>144</v>
      </c>
      <c r="J7" s="14">
        <v>29602</v>
      </c>
      <c r="K7" s="15">
        <v>0.07665022633605838</v>
      </c>
      <c r="L7" s="12">
        <v>3438.557781815066</v>
      </c>
      <c r="M7" s="13">
        <v>0.2865092598058359</v>
      </c>
    </row>
    <row r="8" spans="1:13">
      <c r="A8" s="16" t="s">
        <v>39</v>
      </c>
      <c r="B8" s="17">
        <v>9811.190554586741</v>
      </c>
      <c r="C8" s="17">
        <v>8508.698944775611</v>
      </c>
      <c r="D8" s="18">
        <v>0.1530776465667372</v>
      </c>
      <c r="E8" s="18">
        <v>0.1487891437512934</v>
      </c>
      <c r="F8" s="17">
        <v>10199.2698648539</v>
      </c>
      <c r="G8" s="18">
        <v>0.004364639404189408</v>
      </c>
      <c r="H8" s="19">
        <v>8965</v>
      </c>
      <c r="I8" s="19">
        <v>446</v>
      </c>
      <c r="J8" s="19">
        <v>62267</v>
      </c>
      <c r="K8" s="15">
        <v>0.08310983345913565</v>
      </c>
      <c r="L8" s="17">
        <v>6823.781286841238</v>
      </c>
      <c r="M8" s="18">
        <v>0.1778075313304892</v>
      </c>
    </row>
    <row r="10" spans="1:13">
      <c r="A10" s="8" t="s">
        <v>40</v>
      </c>
    </row>
    <row r="11" spans="1:13">
      <c r="A11" s="8" t="s">
        <v>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30.7109375" customWidth="1"/>
    <col min="3" max="3" width="9.7109375" customWidth="1"/>
    <col min="4" max="4" width="16.7109375" customWidth="1"/>
    <col min="5" max="5" width="5.7109375" customWidth="1"/>
    <col min="6" max="8" width="12.7109375" customWidth="1"/>
    <col min="9" max="9" width="8.7109375" customWidth="1"/>
    <col min="10" max="10" width="5.7109375" customWidth="1"/>
    <col min="11" max="11" width="9.7109375" customWidth="1"/>
    <col min="12" max="12" width="12.7109375" customWidth="1"/>
    <col min="13" max="13" width="8.7109375" customWidth="1"/>
    <col min="14" max="16" width="7.7109375" customWidth="1"/>
    <col min="17" max="17" width="8.7109375" customWidth="1"/>
    <col min="18" max="18" width="7.7109375" customWidth="1"/>
    <col min="19" max="19" width="6.7109375" customWidth="1"/>
    <col min="20" max="20" width="8.7109375" customWidth="1"/>
    <col min="21" max="21" width="6.7109375" customWidth="1"/>
  </cols>
  <sheetData>
    <row r="1" spans="1:21">
      <c r="A1" s="9" t="s">
        <v>41</v>
      </c>
    </row>
    <row r="2" spans="1:21" ht="27.75" customHeight="1">
      <c r="A2" s="10" t="s">
        <v>42</v>
      </c>
      <c r="B2" s="10" t="s">
        <v>43</v>
      </c>
      <c r="C2" s="10" t="s">
        <v>23</v>
      </c>
      <c r="D2" s="10" t="s">
        <v>44</v>
      </c>
      <c r="E2" s="10" t="s">
        <v>45</v>
      </c>
      <c r="F2" s="10" t="s">
        <v>46</v>
      </c>
      <c r="G2" s="10" t="s">
        <v>47</v>
      </c>
      <c r="H2" s="10" t="s">
        <v>48</v>
      </c>
      <c r="I2" s="10" t="s">
        <v>26</v>
      </c>
      <c r="J2" s="10" t="s">
        <v>49</v>
      </c>
      <c r="K2" s="10" t="s">
        <v>50</v>
      </c>
      <c r="L2" s="10" t="s">
        <v>51</v>
      </c>
      <c r="M2" s="10" t="s">
        <v>29</v>
      </c>
      <c r="N2" s="10" t="s">
        <v>30</v>
      </c>
      <c r="O2" s="10" t="s">
        <v>52</v>
      </c>
      <c r="P2" s="10" t="s">
        <v>53</v>
      </c>
      <c r="Q2" s="10" t="s">
        <v>32</v>
      </c>
      <c r="R2" s="10" t="s">
        <v>33</v>
      </c>
      <c r="S2" s="10" t="s">
        <v>54</v>
      </c>
      <c r="T2" s="10" t="s">
        <v>55</v>
      </c>
      <c r="U2" s="10" t="s">
        <v>56</v>
      </c>
    </row>
    <row r="3" spans="1:21">
      <c r="A3" s="11" t="s">
        <v>57</v>
      </c>
      <c r="B3" s="11" t="s">
        <v>58</v>
      </c>
      <c r="C3" s="11" t="s">
        <v>36</v>
      </c>
      <c r="D3" s="11" t="s">
        <v>59</v>
      </c>
      <c r="E3" s="11" t="s">
        <v>60</v>
      </c>
      <c r="F3" s="14">
        <v>652732</v>
      </c>
      <c r="G3" s="14">
        <v>652732</v>
      </c>
      <c r="H3" s="14">
        <v>473320</v>
      </c>
      <c r="I3" s="13">
        <v>0.3790501140877207</v>
      </c>
      <c r="J3" s="11" t="s">
        <v>61</v>
      </c>
      <c r="K3" s="13">
        <v>0.3790501140877207</v>
      </c>
      <c r="L3" s="14">
        <v>540320</v>
      </c>
      <c r="M3" s="13">
        <v>0.2080470832099497</v>
      </c>
      <c r="N3" s="14">
        <v>603</v>
      </c>
      <c r="O3" s="14">
        <v>31</v>
      </c>
      <c r="P3" s="15">
        <v>0.05140961857379768</v>
      </c>
      <c r="Q3" s="14">
        <v>4573</v>
      </c>
      <c r="R3" s="15">
        <v>0.06844522195495298</v>
      </c>
      <c r="S3" s="12">
        <v>1.926517571884984</v>
      </c>
      <c r="T3" s="14">
        <v>2085.405750798722</v>
      </c>
      <c r="U3" s="14">
        <v>7</v>
      </c>
    </row>
    <row r="4" spans="1:21">
      <c r="A4" s="11" t="s">
        <v>62</v>
      </c>
      <c r="B4" s="11" t="s">
        <v>63</v>
      </c>
      <c r="C4" s="11" t="s">
        <v>36</v>
      </c>
      <c r="D4" s="11" t="s">
        <v>59</v>
      </c>
      <c r="E4" s="11" t="s">
        <v>60</v>
      </c>
      <c r="F4" s="14">
        <v>246136</v>
      </c>
      <c r="G4" s="14">
        <v>246136</v>
      </c>
      <c r="H4" s="14">
        <v>235560</v>
      </c>
      <c r="I4" s="13">
        <v>0.04489726608931899</v>
      </c>
      <c r="J4" s="11" t="s">
        <v>61</v>
      </c>
      <c r="K4" s="13">
        <v>0.04489726608931899</v>
      </c>
      <c r="L4" s="14">
        <v>186720</v>
      </c>
      <c r="M4" s="13">
        <v>0.3182090831191089</v>
      </c>
      <c r="N4" s="14">
        <v>219</v>
      </c>
      <c r="O4" s="14">
        <v>8</v>
      </c>
      <c r="P4" s="15">
        <v>0.0365296803652968</v>
      </c>
      <c r="Q4" s="14">
        <v>1035</v>
      </c>
      <c r="R4" s="15">
        <v>0.1314009661835749</v>
      </c>
      <c r="S4" s="12">
        <v>1.610294117647059</v>
      </c>
      <c r="T4" s="14">
        <v>1809.823529411765</v>
      </c>
      <c r="U4" s="14">
        <v>7</v>
      </c>
    </row>
    <row r="5" spans="1:21">
      <c r="A5" s="11" t="s">
        <v>64</v>
      </c>
      <c r="B5" s="11" t="s">
        <v>65</v>
      </c>
      <c r="C5" s="11" t="s">
        <v>36</v>
      </c>
      <c r="D5" s="11" t="s">
        <v>59</v>
      </c>
      <c r="E5" s="11" t="s">
        <v>60</v>
      </c>
      <c r="F5" s="14">
        <v>176035</v>
      </c>
      <c r="G5" s="14">
        <v>176035</v>
      </c>
      <c r="H5" s="14">
        <v>233800</v>
      </c>
      <c r="I5" s="13">
        <v>-0.2470701454234389</v>
      </c>
      <c r="J5" s="11" t="s">
        <v>61</v>
      </c>
      <c r="K5" s="13">
        <v>-0.2470701454234389</v>
      </c>
      <c r="L5" s="14">
        <v>302360</v>
      </c>
      <c r="M5" s="13">
        <v>-0.4177966662256912</v>
      </c>
      <c r="N5" s="14">
        <v>168</v>
      </c>
      <c r="O5" s="14">
        <v>14</v>
      </c>
      <c r="P5" s="15">
        <v>0.08333333333333333</v>
      </c>
      <c r="Q5" s="14">
        <v>772</v>
      </c>
      <c r="R5" s="15">
        <v>0.1463730569948186</v>
      </c>
      <c r="S5" s="12">
        <v>1.486725663716814</v>
      </c>
      <c r="T5" s="14">
        <v>1557.83185840708</v>
      </c>
      <c r="U5" s="14">
        <v>7</v>
      </c>
    </row>
    <row r="6" spans="1:21">
      <c r="A6" s="11" t="s">
        <v>66</v>
      </c>
      <c r="B6" s="11" t="s">
        <v>67</v>
      </c>
      <c r="C6" s="11" t="s">
        <v>36</v>
      </c>
      <c r="D6" s="11" t="s">
        <v>59</v>
      </c>
      <c r="E6" s="11" t="s">
        <v>60</v>
      </c>
      <c r="F6" s="14">
        <v>260070</v>
      </c>
      <c r="G6" s="14">
        <v>260070</v>
      </c>
      <c r="H6" s="14">
        <v>165530</v>
      </c>
      <c r="I6" s="13">
        <v>0.5711351416661632</v>
      </c>
      <c r="J6" s="11" t="s">
        <v>61</v>
      </c>
      <c r="K6" s="13">
        <v>0.5711351416661632</v>
      </c>
      <c r="L6" s="14">
        <v>219340</v>
      </c>
      <c r="M6" s="13">
        <v>0.1856934439682685</v>
      </c>
      <c r="N6" s="14">
        <v>247</v>
      </c>
      <c r="O6" s="14">
        <v>13</v>
      </c>
      <c r="P6" s="15">
        <v>0.05263157894736842</v>
      </c>
      <c r="Q6" s="14">
        <v>1249</v>
      </c>
      <c r="R6" s="15">
        <v>0.1200960768614892</v>
      </c>
      <c r="S6" s="12">
        <v>1.646666666666667</v>
      </c>
      <c r="T6" s="14">
        <v>1733.8</v>
      </c>
      <c r="U6" s="14">
        <v>7</v>
      </c>
    </row>
    <row r="7" spans="1:21">
      <c r="A7" s="11" t="s">
        <v>68</v>
      </c>
      <c r="B7" s="11" t="s">
        <v>69</v>
      </c>
      <c r="C7" s="11" t="s">
        <v>36</v>
      </c>
      <c r="D7" s="11" t="s">
        <v>59</v>
      </c>
      <c r="E7" s="11" t="s">
        <v>60</v>
      </c>
      <c r="F7" s="14">
        <v>0</v>
      </c>
      <c r="G7" s="14">
        <v>0</v>
      </c>
      <c r="H7" s="14">
        <v>0</v>
      </c>
      <c r="I7" s="11" t="s">
        <v>70</v>
      </c>
      <c r="J7" s="11" t="s">
        <v>71</v>
      </c>
      <c r="K7" s="11"/>
      <c r="L7" s="14">
        <v>0</v>
      </c>
      <c r="M7" s="13"/>
      <c r="N7" s="14">
        <v>0</v>
      </c>
      <c r="O7" s="14">
        <v>0</v>
      </c>
      <c r="P7" s="15"/>
      <c r="Q7" s="14">
        <v>0</v>
      </c>
      <c r="R7" s="11" t="s">
        <v>72</v>
      </c>
      <c r="S7" s="12"/>
      <c r="T7" s="14"/>
      <c r="U7" s="14">
        <v>0</v>
      </c>
    </row>
    <row r="8" spans="1:21">
      <c r="A8" s="11" t="s">
        <v>73</v>
      </c>
      <c r="B8" s="11" t="s">
        <v>74</v>
      </c>
      <c r="C8" s="11" t="s">
        <v>36</v>
      </c>
      <c r="D8" s="11" t="s">
        <v>59</v>
      </c>
      <c r="E8" s="11" t="s">
        <v>60</v>
      </c>
      <c r="F8" s="14">
        <v>42340</v>
      </c>
      <c r="G8" s="14">
        <v>42340</v>
      </c>
      <c r="H8" s="14">
        <v>36170</v>
      </c>
      <c r="I8" s="13">
        <v>0.1705833563726846</v>
      </c>
      <c r="J8" s="11" t="s">
        <v>61</v>
      </c>
      <c r="K8" s="13">
        <v>0.1705833563726846</v>
      </c>
      <c r="L8" s="14">
        <v>54170</v>
      </c>
      <c r="M8" s="13">
        <v>-0.218386560827026</v>
      </c>
      <c r="N8" s="14">
        <v>43</v>
      </c>
      <c r="O8" s="14">
        <v>3</v>
      </c>
      <c r="P8" s="15">
        <v>0.06976744186046512</v>
      </c>
      <c r="Q8" s="14">
        <v>292</v>
      </c>
      <c r="R8" s="15">
        <v>0.113013698630137</v>
      </c>
      <c r="S8" s="12">
        <v>1.303030303030303</v>
      </c>
      <c r="T8" s="14">
        <v>1283.030303030303</v>
      </c>
      <c r="U8" s="14">
        <v>6</v>
      </c>
    </row>
    <row r="9" spans="1:21">
      <c r="A9" s="11" t="s">
        <v>75</v>
      </c>
      <c r="B9" s="11" t="s">
        <v>76</v>
      </c>
      <c r="C9" s="11" t="s">
        <v>36</v>
      </c>
      <c r="D9" s="11" t="s">
        <v>77</v>
      </c>
      <c r="E9" s="11" t="s">
        <v>60</v>
      </c>
      <c r="F9" s="14">
        <v>622420</v>
      </c>
      <c r="G9" s="14">
        <v>622420</v>
      </c>
      <c r="H9" s="14">
        <v>419250</v>
      </c>
      <c r="I9" s="13">
        <v>0.484603458556947</v>
      </c>
      <c r="J9" s="11" t="s">
        <v>61</v>
      </c>
      <c r="K9" s="13">
        <v>0.484603458556947</v>
      </c>
      <c r="L9" s="14">
        <v>441450</v>
      </c>
      <c r="M9" s="13">
        <v>0.4099445010759994</v>
      </c>
      <c r="N9" s="14">
        <v>616</v>
      </c>
      <c r="O9" s="14">
        <v>23</v>
      </c>
      <c r="P9" s="15">
        <v>0.03733766233766234</v>
      </c>
      <c r="Q9" s="14">
        <v>5320</v>
      </c>
      <c r="R9" s="15">
        <v>0.05977443609022556</v>
      </c>
      <c r="S9" s="12">
        <v>1.937106918238994</v>
      </c>
      <c r="T9" s="14">
        <v>1957.295597484277</v>
      </c>
      <c r="U9" s="14">
        <v>6</v>
      </c>
    </row>
    <row r="10" spans="1:21">
      <c r="A10" s="11" t="s">
        <v>78</v>
      </c>
      <c r="B10" s="11" t="s">
        <v>79</v>
      </c>
      <c r="C10" s="11" t="s">
        <v>36</v>
      </c>
      <c r="D10" s="11" t="s">
        <v>77</v>
      </c>
      <c r="E10" s="11" t="s">
        <v>60</v>
      </c>
      <c r="F10" s="14">
        <v>456633</v>
      </c>
      <c r="G10" s="14">
        <v>456633</v>
      </c>
      <c r="H10" s="14">
        <v>353580</v>
      </c>
      <c r="I10" s="13">
        <v>0.2914559647038859</v>
      </c>
      <c r="J10" s="11" t="s">
        <v>61</v>
      </c>
      <c r="K10" s="13">
        <v>0.2914559647038859</v>
      </c>
      <c r="L10" s="14">
        <v>356930</v>
      </c>
      <c r="M10" s="13">
        <v>0.27933488359062</v>
      </c>
      <c r="N10" s="14">
        <v>436</v>
      </c>
      <c r="O10" s="14">
        <v>23</v>
      </c>
      <c r="P10" s="15">
        <v>0.05275229357798165</v>
      </c>
      <c r="Q10" s="14">
        <v>2424</v>
      </c>
      <c r="R10" s="15">
        <v>0.0886963696369637</v>
      </c>
      <c r="S10" s="12">
        <v>2.027906976744186</v>
      </c>
      <c r="T10" s="14">
        <v>2123.874418604651</v>
      </c>
      <c r="U10" s="14">
        <v>7</v>
      </c>
    </row>
    <row r="11" spans="1:21">
      <c r="A11" s="11" t="s">
        <v>80</v>
      </c>
      <c r="B11" s="11" t="s">
        <v>81</v>
      </c>
      <c r="C11" s="11" t="s">
        <v>36</v>
      </c>
      <c r="D11" s="11" t="s">
        <v>77</v>
      </c>
      <c r="E11" s="11" t="s">
        <v>60</v>
      </c>
      <c r="F11" s="14">
        <v>56601</v>
      </c>
      <c r="G11" s="14">
        <v>56601</v>
      </c>
      <c r="H11" s="14">
        <v>90610</v>
      </c>
      <c r="I11" s="13">
        <v>-0.3753338483611081</v>
      </c>
      <c r="J11" s="11" t="s">
        <v>61</v>
      </c>
      <c r="K11" s="13">
        <v>-0.3753338483611081</v>
      </c>
      <c r="L11" s="14">
        <v>86860</v>
      </c>
      <c r="M11" s="13">
        <v>-0.3483651853557449</v>
      </c>
      <c r="N11" s="14">
        <v>49</v>
      </c>
      <c r="O11" s="14">
        <v>3</v>
      </c>
      <c r="P11" s="15">
        <v>0.06122448979591837</v>
      </c>
      <c r="Q11" s="14">
        <v>410</v>
      </c>
      <c r="R11" s="15">
        <v>0.09268292682926829</v>
      </c>
      <c r="S11" s="12">
        <v>1.289473684210526</v>
      </c>
      <c r="T11" s="14">
        <v>1489.5</v>
      </c>
      <c r="U11" s="14">
        <v>6</v>
      </c>
    </row>
    <row r="12" spans="1:21">
      <c r="A12" s="11" t="s">
        <v>82</v>
      </c>
      <c r="B12" s="11" t="s">
        <v>83</v>
      </c>
      <c r="C12" s="11" t="s">
        <v>36</v>
      </c>
      <c r="D12" s="11" t="s">
        <v>84</v>
      </c>
      <c r="E12" s="11" t="s">
        <v>85</v>
      </c>
      <c r="F12" s="14">
        <v>86261</v>
      </c>
      <c r="G12" s="14">
        <v>93538.27803079592</v>
      </c>
      <c r="H12" s="14">
        <v>108126.943282942</v>
      </c>
      <c r="I12" s="13">
        <v>-0.1349216468088908</v>
      </c>
      <c r="J12" s="11" t="s">
        <v>61</v>
      </c>
      <c r="K12" s="13">
        <v>-0.14466038671294</v>
      </c>
      <c r="L12" s="14">
        <v>123389.4736842105</v>
      </c>
      <c r="M12" s="13">
        <v>-0.2641106466473299</v>
      </c>
      <c r="N12" s="14">
        <v>89</v>
      </c>
      <c r="O12" s="14">
        <v>4</v>
      </c>
      <c r="P12" s="15">
        <v>0.0449438202247191</v>
      </c>
      <c r="Q12" s="14">
        <v>651</v>
      </c>
      <c r="R12" s="15">
        <v>0.09523809523809523</v>
      </c>
      <c r="S12" s="12">
        <v>1.435483870967742</v>
      </c>
      <c r="T12" s="14">
        <v>1508.681903722515</v>
      </c>
      <c r="U12" s="14">
        <v>6</v>
      </c>
    </row>
    <row r="13" spans="1:21">
      <c r="A13" s="11" t="s">
        <v>86</v>
      </c>
      <c r="B13" s="11" t="s">
        <v>87</v>
      </c>
      <c r="C13" s="11" t="s">
        <v>36</v>
      </c>
      <c r="D13" s="11" t="s">
        <v>84</v>
      </c>
      <c r="E13" s="11" t="s">
        <v>85</v>
      </c>
      <c r="F13" s="14">
        <v>166676</v>
      </c>
      <c r="G13" s="14">
        <v>180737.3671654739</v>
      </c>
      <c r="H13" s="14">
        <v>177870.697973625</v>
      </c>
      <c r="I13" s="13">
        <v>0.01611659044748315</v>
      </c>
      <c r="J13" s="11" t="s">
        <v>61</v>
      </c>
      <c r="K13" s="13">
        <v>0.004677516576250929</v>
      </c>
      <c r="L13" s="14">
        <v>161294.7368421053</v>
      </c>
      <c r="M13" s="13">
        <v>0.08775402988970815</v>
      </c>
      <c r="N13" s="14">
        <v>181</v>
      </c>
      <c r="O13" s="14">
        <v>11</v>
      </c>
      <c r="P13" s="15">
        <v>0.06077348066298342</v>
      </c>
      <c r="Q13" s="14">
        <v>1262</v>
      </c>
      <c r="R13" s="15">
        <v>0.08240887480190175</v>
      </c>
      <c r="S13" s="12">
        <v>1.740384615384615</v>
      </c>
      <c r="T13" s="14">
        <v>1737.859299668018</v>
      </c>
      <c r="U13" s="14">
        <v>6</v>
      </c>
    </row>
    <row r="14" spans="1:21">
      <c r="A14" s="11" t="s">
        <v>88</v>
      </c>
      <c r="B14" s="11" t="s">
        <v>89</v>
      </c>
      <c r="C14" s="11" t="s">
        <v>36</v>
      </c>
      <c r="D14" s="11" t="s">
        <v>84</v>
      </c>
      <c r="E14" s="11" t="s">
        <v>85</v>
      </c>
      <c r="F14" s="14">
        <v>36270</v>
      </c>
      <c r="G14" s="14">
        <v>39329.86337020169</v>
      </c>
      <c r="H14" s="14">
        <v>53929.45212822987</v>
      </c>
      <c r="I14" s="13">
        <v>-0.2707164301115882</v>
      </c>
      <c r="J14" s="11" t="s">
        <v>61</v>
      </c>
      <c r="K14" s="13">
        <v>-0.2789264413518887</v>
      </c>
      <c r="L14" s="14">
        <v>49484.21052631579</v>
      </c>
      <c r="M14" s="13">
        <v>-0.2284609657519677</v>
      </c>
      <c r="N14" s="14">
        <v>35</v>
      </c>
      <c r="O14" s="14">
        <v>3</v>
      </c>
      <c r="P14" s="15">
        <v>0.08571428571428572</v>
      </c>
      <c r="Q14" s="14">
        <v>228</v>
      </c>
      <c r="R14" s="15">
        <v>0.1271929824561404</v>
      </c>
      <c r="S14" s="12">
        <v>1.206896551724138</v>
      </c>
      <c r="T14" s="14">
        <v>1356.202185179369</v>
      </c>
      <c r="U14" s="14">
        <v>7</v>
      </c>
    </row>
    <row r="15" spans="1:21">
      <c r="A15" s="11" t="s">
        <v>90</v>
      </c>
      <c r="B15" s="11" t="s">
        <v>91</v>
      </c>
      <c r="C15" s="11" t="s">
        <v>36</v>
      </c>
      <c r="D15" s="11" t="s">
        <v>92</v>
      </c>
      <c r="E15" s="11" t="s">
        <v>93</v>
      </c>
      <c r="F15" s="14">
        <v>330393</v>
      </c>
      <c r="G15" s="14">
        <v>379282.516358627</v>
      </c>
      <c r="H15" s="14">
        <v>359484.1360419996</v>
      </c>
      <c r="I15" s="13">
        <v>0.05507442006930274</v>
      </c>
      <c r="J15" s="11" t="s">
        <v>61</v>
      </c>
      <c r="K15" s="13">
        <v>0.04893326560416522</v>
      </c>
      <c r="L15" s="14">
        <v>455047.0588235294</v>
      </c>
      <c r="M15" s="13">
        <v>-0.1458070270689521</v>
      </c>
      <c r="N15" s="14">
        <v>371</v>
      </c>
      <c r="O15" s="14">
        <v>26</v>
      </c>
      <c r="P15" s="15">
        <v>0.07008086253369272</v>
      </c>
      <c r="Q15" s="14">
        <v>3277</v>
      </c>
      <c r="R15" s="15">
        <v>0.06774488861763808</v>
      </c>
      <c r="S15" s="12">
        <v>1.671171171171171</v>
      </c>
      <c r="T15" s="14">
        <v>1708.479803417239</v>
      </c>
      <c r="U15" s="14">
        <v>7</v>
      </c>
    </row>
    <row r="16" spans="1:21">
      <c r="A16" s="11" t="s">
        <v>94</v>
      </c>
      <c r="B16" s="11" t="s">
        <v>95</v>
      </c>
      <c r="C16" s="11" t="s">
        <v>36</v>
      </c>
      <c r="D16" s="11" t="s">
        <v>92</v>
      </c>
      <c r="E16" s="11" t="s">
        <v>93</v>
      </c>
      <c r="F16" s="14">
        <v>188076</v>
      </c>
      <c r="G16" s="14">
        <v>215906.3253357823</v>
      </c>
      <c r="H16" s="14">
        <v>271604.6564711253</v>
      </c>
      <c r="I16" s="13">
        <v>-0.2050713410403711</v>
      </c>
      <c r="J16" s="11" t="s">
        <v>61</v>
      </c>
      <c r="K16" s="13">
        <v>-0.2096982939742836</v>
      </c>
      <c r="L16" s="14">
        <v>242494.1176470588</v>
      </c>
      <c r="M16" s="13">
        <v>-0.08754075295944108</v>
      </c>
      <c r="N16" s="14">
        <v>247</v>
      </c>
      <c r="O16" s="14">
        <v>13</v>
      </c>
      <c r="P16" s="15">
        <v>0.05263157894736842</v>
      </c>
      <c r="Q16" s="14">
        <v>1610</v>
      </c>
      <c r="R16" s="15">
        <v>0.08819875776397515</v>
      </c>
      <c r="S16" s="12">
        <v>1.73943661971831</v>
      </c>
      <c r="T16" s="14">
        <v>1520.467079829453</v>
      </c>
      <c r="U16" s="14">
        <v>7</v>
      </c>
    </row>
    <row r="17" spans="1:21">
      <c r="A17" s="11" t="s">
        <v>96</v>
      </c>
      <c r="B17" s="11" t="s">
        <v>97</v>
      </c>
      <c r="C17" s="11" t="s">
        <v>36</v>
      </c>
      <c r="D17" s="11" t="s">
        <v>98</v>
      </c>
      <c r="E17" s="11" t="s">
        <v>60</v>
      </c>
      <c r="F17" s="14">
        <v>141125</v>
      </c>
      <c r="G17" s="14">
        <v>141125</v>
      </c>
      <c r="H17" s="14">
        <v>160760</v>
      </c>
      <c r="I17" s="13">
        <v>-0.1221385916894749</v>
      </c>
      <c r="J17" s="11" t="s">
        <v>61</v>
      </c>
      <c r="K17" s="13">
        <v>-0.1221385916894749</v>
      </c>
      <c r="L17" s="14">
        <v>147130</v>
      </c>
      <c r="M17" s="13">
        <v>-0.04081424590498195</v>
      </c>
      <c r="N17" s="14">
        <v>134</v>
      </c>
      <c r="O17" s="14">
        <v>7</v>
      </c>
      <c r="P17" s="15">
        <v>0.05223880597014925</v>
      </c>
      <c r="Q17" s="14">
        <v>733</v>
      </c>
      <c r="R17" s="15">
        <v>0.111869031377899</v>
      </c>
      <c r="S17" s="12">
        <v>1.634146341463415</v>
      </c>
      <c r="T17" s="14">
        <v>1721.036585365854</v>
      </c>
      <c r="U17" s="14">
        <v>5</v>
      </c>
    </row>
    <row r="18" spans="1:21">
      <c r="A18" s="11" t="s">
        <v>99</v>
      </c>
      <c r="B18" s="11" t="s">
        <v>100</v>
      </c>
      <c r="C18" s="11" t="s">
        <v>36</v>
      </c>
      <c r="D18" s="11" t="s">
        <v>98</v>
      </c>
      <c r="E18" s="11" t="s">
        <v>60</v>
      </c>
      <c r="F18" s="14">
        <v>74376</v>
      </c>
      <c r="G18" s="14">
        <v>74376</v>
      </c>
      <c r="H18" s="14">
        <v>92940</v>
      </c>
      <c r="I18" s="13">
        <v>-0.1997417688831504</v>
      </c>
      <c r="J18" s="11" t="s">
        <v>61</v>
      </c>
      <c r="K18" s="13">
        <v>-0.1997417688831504</v>
      </c>
      <c r="L18" s="14">
        <v>78840</v>
      </c>
      <c r="M18" s="13">
        <v>-0.05662100456621</v>
      </c>
      <c r="N18" s="14">
        <v>70</v>
      </c>
      <c r="O18" s="14">
        <v>3</v>
      </c>
      <c r="P18" s="15">
        <v>0.04285714285714286</v>
      </c>
      <c r="Q18" s="14">
        <v>316</v>
      </c>
      <c r="R18" s="15">
        <v>0.1424050632911392</v>
      </c>
      <c r="S18" s="12">
        <v>1.555555555555556</v>
      </c>
      <c r="T18" s="14">
        <v>1652.8</v>
      </c>
      <c r="U18" s="14">
        <v>5</v>
      </c>
    </row>
    <row r="19" spans="1:21">
      <c r="A19" s="11" t="s">
        <v>101</v>
      </c>
      <c r="B19" s="11" t="s">
        <v>102</v>
      </c>
      <c r="C19" s="11" t="s">
        <v>36</v>
      </c>
      <c r="D19" s="11" t="s">
        <v>103</v>
      </c>
      <c r="E19" s="11" t="s">
        <v>60</v>
      </c>
      <c r="F19" s="14">
        <v>172841</v>
      </c>
      <c r="G19" s="14">
        <v>172841</v>
      </c>
      <c r="H19" s="14">
        <v>155700</v>
      </c>
      <c r="I19" s="13">
        <v>0.1100899165061016</v>
      </c>
      <c r="J19" s="11" t="s">
        <v>61</v>
      </c>
      <c r="K19" s="13">
        <v>0.1100899165061016</v>
      </c>
      <c r="L19" s="14">
        <v>184660</v>
      </c>
      <c r="M19" s="13">
        <v>-0.06400411567204589</v>
      </c>
      <c r="N19" s="14">
        <v>172</v>
      </c>
      <c r="O19" s="14">
        <v>10</v>
      </c>
      <c r="P19" s="15">
        <v>0.05813953488372093</v>
      </c>
      <c r="Q19" s="14">
        <v>353</v>
      </c>
      <c r="R19" s="15">
        <v>0.2776203966005666</v>
      </c>
      <c r="S19" s="12">
        <v>1.755102040816326</v>
      </c>
      <c r="T19" s="14">
        <v>1763.683673469388</v>
      </c>
      <c r="U19" s="14">
        <v>7</v>
      </c>
    </row>
    <row r="20" spans="1:21">
      <c r="A20" s="11" t="s">
        <v>104</v>
      </c>
      <c r="B20" s="11" t="s">
        <v>105</v>
      </c>
      <c r="C20" s="11" t="s">
        <v>36</v>
      </c>
      <c r="D20" s="11" t="s">
        <v>106</v>
      </c>
      <c r="E20" s="11" t="s">
        <v>60</v>
      </c>
      <c r="F20" s="14">
        <v>134770</v>
      </c>
      <c r="G20" s="14">
        <v>134770</v>
      </c>
      <c r="H20" s="14">
        <v>101050</v>
      </c>
      <c r="I20" s="13">
        <v>0.333696190004948</v>
      </c>
      <c r="J20" s="11" t="s">
        <v>61</v>
      </c>
      <c r="K20" s="13">
        <v>0.333696190004948</v>
      </c>
      <c r="L20" s="14">
        <v>155330</v>
      </c>
      <c r="M20" s="13">
        <v>-0.132363355436812</v>
      </c>
      <c r="N20" s="14">
        <v>133</v>
      </c>
      <c r="O20" s="14">
        <v>10</v>
      </c>
      <c r="P20" s="15">
        <v>0.07518796992481203</v>
      </c>
      <c r="Q20" s="14">
        <v>720</v>
      </c>
      <c r="R20" s="15">
        <v>0.1055555555555556</v>
      </c>
      <c r="S20" s="12">
        <v>1.75</v>
      </c>
      <c r="T20" s="14">
        <v>1773.289473684211</v>
      </c>
      <c r="U20" s="14">
        <v>7</v>
      </c>
    </row>
    <row r="21" spans="1:21">
      <c r="A21" s="11" t="s">
        <v>107</v>
      </c>
      <c r="B21" s="11" t="s">
        <v>108</v>
      </c>
      <c r="C21" s="11" t="s">
        <v>36</v>
      </c>
      <c r="D21" s="11" t="s">
        <v>109</v>
      </c>
      <c r="E21" s="11" t="s">
        <v>110</v>
      </c>
      <c r="F21" s="14">
        <v>558920</v>
      </c>
      <c r="G21" s="14">
        <v>74885.11060198025</v>
      </c>
      <c r="H21" s="14">
        <v>92557.32868445756</v>
      </c>
      <c r="I21" s="13">
        <v>-0.1909326720385878</v>
      </c>
      <c r="J21" s="11" t="s">
        <v>61</v>
      </c>
      <c r="K21" s="13">
        <v>-0.1902057374674008</v>
      </c>
      <c r="L21" s="14">
        <v>97945.04021447721</v>
      </c>
      <c r="M21" s="13">
        <v>-0.2350608072043466</v>
      </c>
      <c r="N21" s="14">
        <v>66</v>
      </c>
      <c r="O21" s="14">
        <v>2</v>
      </c>
      <c r="P21" s="15">
        <v>0.0303030303030303</v>
      </c>
      <c r="Q21" s="14">
        <v>372</v>
      </c>
      <c r="R21" s="15">
        <v>0.1317204301075269</v>
      </c>
      <c r="S21" s="12">
        <v>1.346938775510204</v>
      </c>
      <c r="T21" s="14">
        <v>1528.267563305719</v>
      </c>
      <c r="U21" s="14">
        <v>6</v>
      </c>
    </row>
    <row r="22" spans="1:21">
      <c r="A22" s="11" t="s">
        <v>111</v>
      </c>
      <c r="B22" s="11" t="s">
        <v>112</v>
      </c>
      <c r="C22" s="11" t="s">
        <v>36</v>
      </c>
      <c r="D22" s="11" t="s">
        <v>113</v>
      </c>
      <c r="E22" s="11" t="s">
        <v>114</v>
      </c>
      <c r="F22" s="14">
        <v>508160</v>
      </c>
      <c r="G22" s="14">
        <v>117727.7360763599</v>
      </c>
      <c r="H22" s="14">
        <v>164575.9221119641</v>
      </c>
      <c r="I22" s="13">
        <v>-0.2846600245917652</v>
      </c>
      <c r="J22" s="11" t="s">
        <v>61</v>
      </c>
      <c r="K22" s="13">
        <v>-0.2773606370875996</v>
      </c>
      <c r="L22" s="14">
        <v>181652.5</v>
      </c>
      <c r="M22" s="13">
        <v>-0.3006427106700982</v>
      </c>
      <c r="N22" s="14">
        <v>160</v>
      </c>
      <c r="O22" s="14">
        <v>11</v>
      </c>
      <c r="P22" s="15">
        <v>0.06875000000000001</v>
      </c>
      <c r="Q22" s="14">
        <v>991</v>
      </c>
      <c r="R22" s="15">
        <v>0.09687184661957618</v>
      </c>
      <c r="S22" s="12">
        <v>1.666666666666667</v>
      </c>
      <c r="T22" s="14">
        <v>1226.330584128749</v>
      </c>
      <c r="U22" s="14">
        <v>7</v>
      </c>
    </row>
    <row r="23" spans="1:21">
      <c r="A23" s="11" t="s">
        <v>115</v>
      </c>
      <c r="B23" s="11" t="s">
        <v>116</v>
      </c>
      <c r="C23" s="11" t="s">
        <v>37</v>
      </c>
      <c r="D23" s="11" t="s">
        <v>117</v>
      </c>
      <c r="E23" s="11" t="s">
        <v>118</v>
      </c>
      <c r="F23" s="14">
        <v>379512.5</v>
      </c>
      <c r="G23" s="14">
        <v>322851.9778817524</v>
      </c>
      <c r="H23" s="14">
        <v>248388.3445074781</v>
      </c>
      <c r="I23" s="13">
        <v>0.2997871479111713</v>
      </c>
      <c r="J23" s="11" t="s">
        <v>61</v>
      </c>
      <c r="K23" s="13">
        <v>0.3133056492776189</v>
      </c>
      <c r="L23" s="14">
        <v>419962.9629629629</v>
      </c>
      <c r="M23" s="13">
        <v>-0.1632595466972395</v>
      </c>
      <c r="N23" s="14">
        <v>331</v>
      </c>
      <c r="O23" s="14">
        <v>32</v>
      </c>
      <c r="P23" s="15">
        <v>0.09667673716012085</v>
      </c>
      <c r="Q23" s="14">
        <v>2604</v>
      </c>
      <c r="R23" s="15">
        <v>0.07411674347158217</v>
      </c>
      <c r="S23" s="12">
        <v>1.715025906735751</v>
      </c>
      <c r="T23" s="14">
        <v>1672.808175553121</v>
      </c>
      <c r="U23" s="14">
        <v>7</v>
      </c>
    </row>
    <row r="24" spans="1:21">
      <c r="A24" s="11" t="s">
        <v>119</v>
      </c>
      <c r="B24" s="11" t="s">
        <v>120</v>
      </c>
      <c r="C24" s="11" t="s">
        <v>37</v>
      </c>
      <c r="D24" s="11" t="s">
        <v>117</v>
      </c>
      <c r="E24" s="11" t="s">
        <v>118</v>
      </c>
      <c r="F24" s="14">
        <v>285572.5</v>
      </c>
      <c r="G24" s="14">
        <v>242937.0480646534</v>
      </c>
      <c r="H24" s="14">
        <v>208311.8445934331</v>
      </c>
      <c r="I24" s="13">
        <v>0.1662181213881482</v>
      </c>
      <c r="J24" s="11" t="s">
        <v>61</v>
      </c>
      <c r="K24" s="13">
        <v>0.1783474314008666</v>
      </c>
      <c r="L24" s="14">
        <v>243462.9629629629</v>
      </c>
      <c r="M24" s="13">
        <v>0.08607484597246517</v>
      </c>
      <c r="N24" s="14">
        <v>232</v>
      </c>
      <c r="O24" s="14">
        <v>15</v>
      </c>
      <c r="P24" s="15">
        <v>0.06465517241379311</v>
      </c>
      <c r="Q24" s="14">
        <v>1177</v>
      </c>
      <c r="R24" s="15">
        <v>0.124893797790994</v>
      </c>
      <c r="S24" s="12">
        <v>1.578231292517007</v>
      </c>
      <c r="T24" s="14">
        <v>1652.632980031656</v>
      </c>
      <c r="U24" s="14">
        <v>7</v>
      </c>
    </row>
    <row r="25" spans="1:21">
      <c r="A25" s="11" t="s">
        <v>121</v>
      </c>
      <c r="B25" s="11" t="s">
        <v>122</v>
      </c>
      <c r="C25" s="11" t="s">
        <v>37</v>
      </c>
      <c r="D25" s="11" t="s">
        <v>117</v>
      </c>
      <c r="E25" s="11" t="s">
        <v>118</v>
      </c>
      <c r="F25" s="14">
        <v>70950</v>
      </c>
      <c r="G25" s="14">
        <v>60357.29476818375</v>
      </c>
      <c r="H25" s="14">
        <v>71235.1727694688</v>
      </c>
      <c r="I25" s="13">
        <v>-0.1527037498243743</v>
      </c>
      <c r="J25" s="11" t="s">
        <v>61</v>
      </c>
      <c r="K25" s="13">
        <v>-0.1438914027149322</v>
      </c>
      <c r="L25" s="14">
        <v>91814.8148148148</v>
      </c>
      <c r="M25" s="13">
        <v>-0.2844945542557482</v>
      </c>
      <c r="N25" s="14">
        <v>69</v>
      </c>
      <c r="O25" s="14">
        <v>9</v>
      </c>
      <c r="P25" s="15">
        <v>0.1304347826086956</v>
      </c>
      <c r="Q25" s="14">
        <v>518</v>
      </c>
      <c r="R25" s="15">
        <v>0.08687258687258688</v>
      </c>
      <c r="S25" s="12">
        <v>1.533333333333333</v>
      </c>
      <c r="T25" s="14">
        <v>1341.27321707075</v>
      </c>
      <c r="U25" s="14">
        <v>7</v>
      </c>
    </row>
    <row r="26" spans="1:21">
      <c r="A26" s="11" t="s">
        <v>123</v>
      </c>
      <c r="B26" s="11" t="s">
        <v>124</v>
      </c>
      <c r="C26" s="11" t="s">
        <v>37</v>
      </c>
      <c r="D26" s="11" t="s">
        <v>117</v>
      </c>
      <c r="E26" s="11" t="s">
        <v>118</v>
      </c>
      <c r="F26" s="14">
        <v>192065</v>
      </c>
      <c r="G26" s="14">
        <v>163390.0467886006</v>
      </c>
      <c r="H26" s="14">
        <v>155449.5444387141</v>
      </c>
      <c r="I26" s="13">
        <v>0.05108089816896855</v>
      </c>
      <c r="J26" s="11" t="s">
        <v>61</v>
      </c>
      <c r="K26" s="13">
        <v>0.062012717721869</v>
      </c>
      <c r="L26" s="14">
        <v>163398.1481481481</v>
      </c>
      <c r="M26" s="13">
        <v>0.08837830792769319</v>
      </c>
      <c r="N26" s="14">
        <v>155</v>
      </c>
      <c r="O26" s="14">
        <v>8</v>
      </c>
      <c r="P26" s="15">
        <v>0.05161290322580645</v>
      </c>
      <c r="Q26" s="14">
        <v>801</v>
      </c>
      <c r="R26" s="15">
        <v>0.1235955056179775</v>
      </c>
      <c r="S26" s="12">
        <v>1.565656565656566</v>
      </c>
      <c r="T26" s="14">
        <v>1650.404513016168</v>
      </c>
      <c r="U26" s="14">
        <v>7</v>
      </c>
    </row>
    <row r="27" spans="1:21">
      <c r="A27" s="11" t="s">
        <v>125</v>
      </c>
      <c r="B27" s="11" t="s">
        <v>126</v>
      </c>
      <c r="C27" s="11" t="s">
        <v>37</v>
      </c>
      <c r="D27" s="11" t="s">
        <v>117</v>
      </c>
      <c r="E27" s="11" t="s">
        <v>118</v>
      </c>
      <c r="F27" s="14">
        <v>19827.5</v>
      </c>
      <c r="G27" s="14">
        <v>16867.29051467461</v>
      </c>
      <c r="H27" s="14">
        <v>28537.04658758811</v>
      </c>
      <c r="I27" s="13">
        <v>-0.4089335606996255</v>
      </c>
      <c r="J27" s="11" t="s">
        <v>61</v>
      </c>
      <c r="K27" s="13">
        <v>-0.4027861445783133</v>
      </c>
      <c r="L27" s="14">
        <v>33314.81481481481</v>
      </c>
      <c r="M27" s="13">
        <v>-0.448923846581434</v>
      </c>
      <c r="N27" s="14">
        <v>22</v>
      </c>
      <c r="O27" s="14">
        <v>4</v>
      </c>
      <c r="P27" s="15">
        <v>0.1818181818181818</v>
      </c>
      <c r="Q27" s="14">
        <v>146</v>
      </c>
      <c r="R27" s="15">
        <v>0.136986301369863</v>
      </c>
      <c r="S27" s="12">
        <v>1.1</v>
      </c>
      <c r="T27" s="14">
        <v>843.3645257337303</v>
      </c>
      <c r="U27" s="14">
        <v>6</v>
      </c>
    </row>
    <row r="28" spans="1:21">
      <c r="A28" s="11" t="s">
        <v>127</v>
      </c>
      <c r="B28" s="11" t="s">
        <v>128</v>
      </c>
      <c r="C28" s="11" t="s">
        <v>37</v>
      </c>
      <c r="D28" s="11" t="s">
        <v>129</v>
      </c>
      <c r="E28" s="11" t="s">
        <v>130</v>
      </c>
      <c r="F28" s="14">
        <v>194135</v>
      </c>
      <c r="G28" s="14">
        <v>119880.8200568112</v>
      </c>
      <c r="H28" s="14">
        <v>151458.0653066225</v>
      </c>
      <c r="I28" s="13">
        <v>-0.2084883705987142</v>
      </c>
      <c r="J28" s="11" t="s">
        <v>61</v>
      </c>
      <c r="K28" s="13">
        <v>-0.214743654565679</v>
      </c>
      <c r="L28" s="14">
        <v>204682.4324324324</v>
      </c>
      <c r="M28" s="13">
        <v>-0.3591389429901297</v>
      </c>
      <c r="N28" s="14">
        <v>128</v>
      </c>
      <c r="O28" s="14">
        <v>16</v>
      </c>
      <c r="P28" s="15">
        <v>0.125</v>
      </c>
      <c r="Q28" s="14">
        <v>831</v>
      </c>
      <c r="R28" s="15">
        <v>0.09747292418772563</v>
      </c>
      <c r="S28" s="12">
        <v>1.580246913580247</v>
      </c>
      <c r="T28" s="14">
        <v>1480.010124158163</v>
      </c>
      <c r="U28" s="14">
        <v>7</v>
      </c>
    </row>
    <row r="29" spans="1:21">
      <c r="A29" s="11" t="s">
        <v>131</v>
      </c>
      <c r="B29" s="11" t="s">
        <v>132</v>
      </c>
      <c r="C29" s="11" t="s">
        <v>38</v>
      </c>
      <c r="D29" s="11" t="s">
        <v>133</v>
      </c>
      <c r="E29" s="11" t="s">
        <v>134</v>
      </c>
      <c r="F29" s="14">
        <v>95917100</v>
      </c>
      <c r="G29" s="14">
        <v>558404.2615124875</v>
      </c>
      <c r="H29" s="14">
        <v>562755.8604917096</v>
      </c>
      <c r="I29" s="13">
        <v>-0.007732658661999126</v>
      </c>
      <c r="J29" s="11" t="s">
        <v>61</v>
      </c>
      <c r="K29" s="13">
        <v>-0.02549021599983747</v>
      </c>
      <c r="L29" s="14">
        <v>713418.6419753087</v>
      </c>
      <c r="M29" s="13">
        <v>-0.1700777563638547</v>
      </c>
      <c r="N29" s="14">
        <v>487</v>
      </c>
      <c r="O29" s="14">
        <v>23</v>
      </c>
      <c r="P29" s="15">
        <v>0.04722792607802875</v>
      </c>
      <c r="Q29" s="14">
        <v>5048</v>
      </c>
      <c r="R29" s="15">
        <v>0.04992076069730586</v>
      </c>
      <c r="S29" s="12">
        <v>1.932539682539683</v>
      </c>
      <c r="T29" s="14">
        <v>2215.889926636855</v>
      </c>
      <c r="U29" s="14">
        <v>7</v>
      </c>
    </row>
    <row r="30" spans="1:21">
      <c r="A30" s="11" t="s">
        <v>135</v>
      </c>
      <c r="B30" s="11" t="s">
        <v>136</v>
      </c>
      <c r="C30" s="11" t="s">
        <v>38</v>
      </c>
      <c r="D30" s="11" t="s">
        <v>133</v>
      </c>
      <c r="E30" s="11" t="s">
        <v>134</v>
      </c>
      <c r="F30" s="14">
        <v>36697500</v>
      </c>
      <c r="G30" s="14">
        <v>213643.2438726203</v>
      </c>
      <c r="H30" s="14">
        <v>224562.6072041166</v>
      </c>
      <c r="I30" s="13">
        <v>-0.04862502919540435</v>
      </c>
      <c r="J30" s="11" t="s">
        <v>61</v>
      </c>
      <c r="K30" s="13">
        <v>-0.06565077910174155</v>
      </c>
      <c r="L30" s="14">
        <v>354376.1111111111</v>
      </c>
      <c r="M30" s="13">
        <v>-0.3607723746114063</v>
      </c>
      <c r="N30" s="14">
        <v>177</v>
      </c>
      <c r="O30" s="14">
        <v>4</v>
      </c>
      <c r="P30" s="15">
        <v>0.02259887005649718</v>
      </c>
      <c r="Q30" s="14">
        <v>1789</v>
      </c>
      <c r="R30" s="15">
        <v>0.06036892118501956</v>
      </c>
      <c r="S30" s="12">
        <v>1.638888888888889</v>
      </c>
      <c r="T30" s="14">
        <v>1978.178184005744</v>
      </c>
      <c r="U30" s="14">
        <v>7</v>
      </c>
    </row>
    <row r="31" spans="1:21">
      <c r="A31" s="11" t="s">
        <v>137</v>
      </c>
      <c r="B31" s="11" t="s">
        <v>138</v>
      </c>
      <c r="C31" s="11" t="s">
        <v>38</v>
      </c>
      <c r="D31" s="11" t="s">
        <v>133</v>
      </c>
      <c r="E31" s="11" t="s">
        <v>134</v>
      </c>
      <c r="F31" s="14">
        <v>49789600</v>
      </c>
      <c r="G31" s="14">
        <v>289862.0248006054</v>
      </c>
      <c r="H31" s="14">
        <v>315837.6214979988</v>
      </c>
      <c r="I31" s="13">
        <v>-0.08224351669757612</v>
      </c>
      <c r="J31" s="11" t="s">
        <v>61</v>
      </c>
      <c r="K31" s="13">
        <v>-0.09866763215061558</v>
      </c>
      <c r="L31" s="14">
        <v>325120.987654321</v>
      </c>
      <c r="M31" s="13">
        <v>-0.05468114434132787</v>
      </c>
      <c r="N31" s="14">
        <v>283</v>
      </c>
      <c r="O31" s="14">
        <v>12</v>
      </c>
      <c r="P31" s="15">
        <v>0.04240282685512368</v>
      </c>
      <c r="Q31" s="14">
        <v>1909</v>
      </c>
      <c r="R31" s="15">
        <v>0.07700366684127816</v>
      </c>
      <c r="S31" s="12">
        <v>1.925170068027211</v>
      </c>
      <c r="T31" s="14">
        <v>1971.850508847656</v>
      </c>
      <c r="U31" s="14">
        <v>7</v>
      </c>
    </row>
    <row r="32" spans="1:21">
      <c r="A32" s="11" t="s">
        <v>139</v>
      </c>
      <c r="B32" s="11" t="s">
        <v>140</v>
      </c>
      <c r="C32" s="11" t="s">
        <v>38</v>
      </c>
      <c r="D32" s="11" t="s">
        <v>141</v>
      </c>
      <c r="E32" s="11" t="s">
        <v>142</v>
      </c>
      <c r="F32" s="14">
        <v>1303769000</v>
      </c>
      <c r="G32" s="14">
        <v>796486.6515975319</v>
      </c>
      <c r="H32" s="14">
        <v>489548.9815712901</v>
      </c>
      <c r="I32" s="13">
        <v>0.6269805097767205</v>
      </c>
      <c r="J32" s="11" t="s">
        <v>61</v>
      </c>
      <c r="K32" s="13">
        <v>0.6144546535241964</v>
      </c>
      <c r="L32" s="14">
        <v>596681.9324324324</v>
      </c>
      <c r="M32" s="13">
        <v>0.4763745173392777</v>
      </c>
      <c r="N32" s="14">
        <v>682</v>
      </c>
      <c r="O32" s="14">
        <v>15</v>
      </c>
      <c r="P32" s="15">
        <v>0.02199413489736071</v>
      </c>
      <c r="Q32" s="14">
        <v>4406</v>
      </c>
      <c r="R32" s="15">
        <v>0.08579210167952792</v>
      </c>
      <c r="S32" s="12">
        <v>1.804232804232804</v>
      </c>
      <c r="T32" s="14">
        <v>2107.107543908814</v>
      </c>
      <c r="U32" s="14">
        <v>7</v>
      </c>
    </row>
    <row r="33" spans="1:21">
      <c r="A33" s="11" t="s">
        <v>143</v>
      </c>
      <c r="B33" s="11" t="s">
        <v>144</v>
      </c>
      <c r="C33" s="11" t="s">
        <v>38</v>
      </c>
      <c r="D33" s="11" t="s">
        <v>141</v>
      </c>
      <c r="E33" s="11" t="s">
        <v>142</v>
      </c>
      <c r="F33" s="14">
        <v>728210000</v>
      </c>
      <c r="G33" s="14">
        <v>444871.403262264</v>
      </c>
      <c r="H33" s="14">
        <v>291040.2521823472</v>
      </c>
      <c r="I33" s="13">
        <v>0.5285562733210389</v>
      </c>
      <c r="J33" s="11" t="s">
        <v>61</v>
      </c>
      <c r="K33" s="13">
        <v>0.5167881691314309</v>
      </c>
      <c r="L33" s="14">
        <v>502941.2702702703</v>
      </c>
      <c r="M33" s="13">
        <v>-0.02168497777963119</v>
      </c>
      <c r="N33" s="14">
        <v>373</v>
      </c>
      <c r="O33" s="14">
        <v>11</v>
      </c>
      <c r="P33" s="15">
        <v>0.02949061662198391</v>
      </c>
      <c r="Q33" s="14">
        <v>1955</v>
      </c>
      <c r="R33" s="15">
        <v>0.1099744245524297</v>
      </c>
      <c r="S33" s="12">
        <v>1.734883720930233</v>
      </c>
      <c r="T33" s="14">
        <v>2069.169317498902</v>
      </c>
      <c r="U33" s="14">
        <v>7</v>
      </c>
    </row>
    <row r="34" spans="1:21">
      <c r="A34" s="11" t="s">
        <v>145</v>
      </c>
      <c r="B34" s="11" t="s">
        <v>146</v>
      </c>
      <c r="C34" s="11" t="s">
        <v>38</v>
      </c>
      <c r="D34" s="11" t="s">
        <v>141</v>
      </c>
      <c r="E34" s="11" t="s">
        <v>142</v>
      </c>
      <c r="F34" s="14">
        <v>305546000</v>
      </c>
      <c r="G34" s="14">
        <v>186661.3721058097</v>
      </c>
      <c r="H34" s="14">
        <v>178176.527643065</v>
      </c>
      <c r="I34" s="13">
        <v>0.04762043898252499</v>
      </c>
      <c r="J34" s="11" t="s">
        <v>61</v>
      </c>
      <c r="K34" s="13">
        <v>0.03955498094719645</v>
      </c>
      <c r="L34" s="14">
        <v>239696.2567567567</v>
      </c>
      <c r="M34" s="13">
        <v>-0.1387016101402658</v>
      </c>
      <c r="N34" s="14">
        <v>179</v>
      </c>
      <c r="O34" s="14">
        <v>7</v>
      </c>
      <c r="P34" s="15">
        <v>0.03910614525139665</v>
      </c>
      <c r="Q34" s="14">
        <v>1032</v>
      </c>
      <c r="R34" s="15">
        <v>0.1036821705426357</v>
      </c>
      <c r="S34" s="12">
        <v>1.672897196261682</v>
      </c>
      <c r="T34" s="14">
        <v>1744.498804727194</v>
      </c>
      <c r="U34" s="14">
        <v>7</v>
      </c>
    </row>
    <row r="35" spans="1:21">
      <c r="A35" s="11" t="s">
        <v>147</v>
      </c>
      <c r="B35" s="11" t="s">
        <v>148</v>
      </c>
      <c r="C35" s="11" t="s">
        <v>38</v>
      </c>
      <c r="D35" s="11" t="s">
        <v>149</v>
      </c>
      <c r="E35" s="11" t="s">
        <v>150</v>
      </c>
      <c r="F35" s="14">
        <v>5910100</v>
      </c>
      <c r="G35" s="14">
        <v>721641.554128306</v>
      </c>
      <c r="H35" s="14">
        <v>543655.9505447125</v>
      </c>
      <c r="I35" s="13">
        <v>0.3273864719134629</v>
      </c>
      <c r="J35" s="11" t="s">
        <v>61</v>
      </c>
      <c r="K35" s="13">
        <v>0.3203091839242231</v>
      </c>
      <c r="L35" s="14">
        <v>716033.3333333334</v>
      </c>
      <c r="M35" s="13">
        <v>0.05819794236767373</v>
      </c>
      <c r="N35" s="14">
        <v>515</v>
      </c>
      <c r="O35" s="14">
        <v>24</v>
      </c>
      <c r="P35" s="15">
        <v>0.04660194174757282</v>
      </c>
      <c r="Q35" s="14">
        <v>4564</v>
      </c>
      <c r="R35" s="15">
        <v>0.06595092024539877</v>
      </c>
      <c r="S35" s="12">
        <v>1.710963455149502</v>
      </c>
      <c r="T35" s="14">
        <v>2397.480246273442</v>
      </c>
      <c r="U35" s="14">
        <v>7</v>
      </c>
    </row>
    <row r="36" spans="1:21">
      <c r="A36" s="11" t="s">
        <v>151</v>
      </c>
      <c r="B36" s="11" t="s">
        <v>152</v>
      </c>
      <c r="C36" s="11" t="s">
        <v>38</v>
      </c>
      <c r="D36" s="11" t="s">
        <v>149</v>
      </c>
      <c r="E36" s="11" t="s">
        <v>150</v>
      </c>
      <c r="F36" s="14">
        <v>4331390</v>
      </c>
      <c r="G36" s="14">
        <v>528876.1630320643</v>
      </c>
      <c r="H36" s="14">
        <v>495208.7154013384</v>
      </c>
      <c r="I36" s="13">
        <v>0.06798637944697816</v>
      </c>
      <c r="J36" s="11" t="s">
        <v>61</v>
      </c>
      <c r="K36" s="13">
        <v>0.06229214695639396</v>
      </c>
      <c r="L36" s="14">
        <v>530396.1538461539</v>
      </c>
      <c r="M36" s="13">
        <v>0.04696649093928329</v>
      </c>
      <c r="N36" s="14">
        <v>396</v>
      </c>
      <c r="O36" s="14">
        <v>15</v>
      </c>
      <c r="P36" s="15">
        <v>0.03787878787878788</v>
      </c>
      <c r="Q36" s="14">
        <v>2926</v>
      </c>
      <c r="R36" s="15">
        <v>0.08475734791524266</v>
      </c>
      <c r="S36" s="12">
        <v>1.596774193548387</v>
      </c>
      <c r="T36" s="14">
        <v>2132.565173516388</v>
      </c>
      <c r="U36" s="14">
        <v>7</v>
      </c>
    </row>
    <row r="37" spans="1:21">
      <c r="A37" s="11" t="s">
        <v>153</v>
      </c>
      <c r="B37" s="11" t="s">
        <v>154</v>
      </c>
      <c r="C37" s="11" t="s">
        <v>38</v>
      </c>
      <c r="D37" s="11" t="s">
        <v>149</v>
      </c>
      <c r="E37" s="11" t="s">
        <v>150</v>
      </c>
      <c r="F37" s="14">
        <v>3797560</v>
      </c>
      <c r="G37" s="14">
        <v>463693.8630979999</v>
      </c>
      <c r="H37" s="14">
        <v>292808.8222791697</v>
      </c>
      <c r="I37" s="13">
        <v>0.5836061888050115</v>
      </c>
      <c r="J37" s="11" t="s">
        <v>61</v>
      </c>
      <c r="K37" s="13">
        <v>0.5751628022730102</v>
      </c>
      <c r="L37" s="14">
        <v>390855.1282051282</v>
      </c>
      <c r="M37" s="13">
        <v>0.2456431165065422</v>
      </c>
      <c r="N37" s="14">
        <v>327</v>
      </c>
      <c r="O37" s="14">
        <v>10</v>
      </c>
      <c r="P37" s="15">
        <v>0.03058103975535168</v>
      </c>
      <c r="Q37" s="14">
        <v>2080</v>
      </c>
      <c r="R37" s="15">
        <v>0.09519230769230769</v>
      </c>
      <c r="S37" s="12">
        <v>1.651515151515152</v>
      </c>
      <c r="T37" s="14">
        <v>2341.888197464646</v>
      </c>
      <c r="U37" s="14">
        <v>7</v>
      </c>
    </row>
    <row r="38" spans="1:21">
      <c r="A38" s="11" t="s">
        <v>155</v>
      </c>
      <c r="B38" s="11" t="s">
        <v>156</v>
      </c>
      <c r="C38" s="11" t="s">
        <v>38</v>
      </c>
      <c r="D38" s="11" t="s">
        <v>157</v>
      </c>
      <c r="E38" s="11" t="s">
        <v>158</v>
      </c>
      <c r="F38" s="14">
        <v>2396000</v>
      </c>
      <c r="G38" s="14">
        <v>262032.6119052045</v>
      </c>
      <c r="H38" s="14">
        <v>181485.0785802578</v>
      </c>
      <c r="I38" s="13">
        <v>0.4438245499578433</v>
      </c>
      <c r="J38" s="11" t="s">
        <v>61</v>
      </c>
      <c r="K38" s="13">
        <v>0.4570664072001944</v>
      </c>
      <c r="L38" s="14">
        <v>231441.4201183432</v>
      </c>
      <c r="M38" s="13">
        <v>0.2251523511003846</v>
      </c>
      <c r="N38" s="14">
        <v>275</v>
      </c>
      <c r="O38" s="14">
        <v>6</v>
      </c>
      <c r="P38" s="15">
        <v>0.02181818181818182</v>
      </c>
      <c r="Q38" s="14">
        <v>1643</v>
      </c>
      <c r="R38" s="15">
        <v>0.07973219720024345</v>
      </c>
      <c r="S38" s="12">
        <v>2.099236641221374</v>
      </c>
      <c r="T38" s="14">
        <v>2000.248945841256</v>
      </c>
      <c r="U38" s="14">
        <v>7</v>
      </c>
    </row>
    <row r="39" spans="1:21">
      <c r="A39" s="11" t="s">
        <v>159</v>
      </c>
      <c r="B39" s="11" t="s">
        <v>160</v>
      </c>
      <c r="C39" s="11" t="s">
        <v>38</v>
      </c>
      <c r="D39" s="11" t="s">
        <v>161</v>
      </c>
      <c r="E39" s="11" t="s">
        <v>162</v>
      </c>
      <c r="F39" s="14">
        <v>4261440</v>
      </c>
      <c r="G39" s="14">
        <v>118078.1379883624</v>
      </c>
      <c r="H39" s="14">
        <v>128815.4578549426</v>
      </c>
      <c r="I39" s="13">
        <v>-0.08335428096425612</v>
      </c>
      <c r="J39" s="11" t="s">
        <v>61</v>
      </c>
      <c r="K39" s="13">
        <v>-0.0736</v>
      </c>
      <c r="L39" s="14">
        <v>158049.7126436782</v>
      </c>
      <c r="M39" s="13">
        <v>-0.2252121313496227</v>
      </c>
      <c r="N39" s="14">
        <v>125</v>
      </c>
      <c r="O39" s="14">
        <v>9</v>
      </c>
      <c r="P39" s="15">
        <v>0.07199999999999999</v>
      </c>
      <c r="Q39" s="14">
        <v>923</v>
      </c>
      <c r="R39" s="15">
        <v>0.0790899241603467</v>
      </c>
      <c r="S39" s="12">
        <v>1.712328767123288</v>
      </c>
      <c r="T39" s="14">
        <v>1617.508739566608</v>
      </c>
      <c r="U39" s="14">
        <v>7</v>
      </c>
    </row>
    <row r="40" spans="1:21">
      <c r="A40" s="11" t="s">
        <v>163</v>
      </c>
      <c r="B40" s="11" t="s">
        <v>164</v>
      </c>
      <c r="C40" s="11" t="s">
        <v>38</v>
      </c>
      <c r="D40" s="11" t="s">
        <v>165</v>
      </c>
      <c r="E40" s="11" t="s">
        <v>166</v>
      </c>
      <c r="F40" s="14">
        <v>173370</v>
      </c>
      <c r="G40" s="14">
        <v>114928.7371561154</v>
      </c>
      <c r="H40" s="14">
        <v>140667.2380826795</v>
      </c>
      <c r="I40" s="13">
        <v>-0.1829743817919843</v>
      </c>
      <c r="J40" s="11" t="s">
        <v>61</v>
      </c>
      <c r="K40" s="13">
        <v>-0.1873916100304663</v>
      </c>
      <c r="L40" s="14">
        <v>160496.5517241379</v>
      </c>
      <c r="M40" s="13">
        <v>-0.255030723616363</v>
      </c>
      <c r="N40" s="14">
        <v>118</v>
      </c>
      <c r="O40" s="14">
        <v>5</v>
      </c>
      <c r="P40" s="15">
        <v>0.0423728813559322</v>
      </c>
      <c r="Q40" s="14">
        <v>987</v>
      </c>
      <c r="R40" s="15">
        <v>0.0729483282674772</v>
      </c>
      <c r="S40" s="12">
        <v>1.638888888888889</v>
      </c>
      <c r="T40" s="14">
        <v>1596.232460501602</v>
      </c>
      <c r="U40" s="14">
        <v>7</v>
      </c>
    </row>
    <row r="41" spans="1:21">
      <c r="A41" s="11" t="s">
        <v>167</v>
      </c>
      <c r="B41" s="11" t="s">
        <v>168</v>
      </c>
      <c r="C41" s="11" t="s">
        <v>38</v>
      </c>
      <c r="D41" s="11" t="s">
        <v>169</v>
      </c>
      <c r="E41" s="11" t="s">
        <v>170</v>
      </c>
      <c r="F41" s="14">
        <v>85235</v>
      </c>
      <c r="G41" s="14">
        <v>48239.85511347558</v>
      </c>
      <c r="H41" s="14">
        <v>54336.67654433554</v>
      </c>
      <c r="I41" s="13">
        <v>-0.11220453326558</v>
      </c>
      <c r="J41" s="11" t="s">
        <v>61</v>
      </c>
      <c r="K41" s="13">
        <v>-0.1060828526481383</v>
      </c>
      <c r="L41" s="14">
        <v>57709.09090909091</v>
      </c>
      <c r="M41" s="13">
        <v>-0.1048897290485192</v>
      </c>
      <c r="N41" s="14">
        <v>52</v>
      </c>
      <c r="O41" s="14">
        <v>3</v>
      </c>
      <c r="P41" s="15">
        <v>0.0576923076923077</v>
      </c>
      <c r="Q41" s="14">
        <v>340</v>
      </c>
      <c r="R41" s="15">
        <v>0.1147058823529412</v>
      </c>
      <c r="S41" s="12">
        <v>1.333333333333333</v>
      </c>
      <c r="T41" s="14">
        <v>1236.919361883989</v>
      </c>
      <c r="U41" s="14">
        <v>7</v>
      </c>
    </row>
    <row r="42" spans="1:21">
      <c r="B42" s="16" t="s">
        <v>171</v>
      </c>
      <c r="G42" s="19">
        <v>9811190.554586742</v>
      </c>
      <c r="H42" s="19">
        <v>8508698.944775611</v>
      </c>
      <c r="L42" s="19">
        <v>10199269.8648539</v>
      </c>
      <c r="N42" s="19">
        <v>8965</v>
      </c>
      <c r="O42" s="19">
        <v>446</v>
      </c>
      <c r="Q42" s="19">
        <v>62267</v>
      </c>
    </row>
    <row r="44" spans="1:21">
      <c r="B44" s="8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2" width="18.7109375" customWidth="1"/>
    <col min="3" max="8" width="11.7109375" customWidth="1"/>
  </cols>
  <sheetData>
    <row r="1" spans="1:8">
      <c r="A1" s="9" t="s">
        <v>172</v>
      </c>
    </row>
    <row r="2" spans="1:8">
      <c r="A2" s="10" t="s">
        <v>23</v>
      </c>
      <c r="B2" s="10" t="s">
        <v>44</v>
      </c>
      <c r="C2" s="10" t="s">
        <v>173</v>
      </c>
      <c r="D2" s="10" t="s">
        <v>174</v>
      </c>
      <c r="E2" s="10" t="s">
        <v>26</v>
      </c>
      <c r="F2" s="10" t="s">
        <v>50</v>
      </c>
      <c r="G2" s="10" t="s">
        <v>29</v>
      </c>
      <c r="H2" s="10" t="s">
        <v>30</v>
      </c>
    </row>
    <row r="3" spans="1:8">
      <c r="A3" s="11" t="s">
        <v>36</v>
      </c>
      <c r="B3" s="11" t="s">
        <v>59</v>
      </c>
      <c r="C3" s="12">
        <v>1377.313</v>
      </c>
      <c r="D3" s="12">
        <v>1144.38</v>
      </c>
      <c r="E3" s="13">
        <v>0.2035451510861777</v>
      </c>
      <c r="F3" s="13">
        <v>0.2035451510861777</v>
      </c>
      <c r="G3" s="13">
        <v>0.05710524901950254</v>
      </c>
      <c r="H3" s="14">
        <v>1280</v>
      </c>
    </row>
    <row r="4" spans="1:8">
      <c r="A4" s="11" t="s">
        <v>36</v>
      </c>
      <c r="B4" s="11" t="s">
        <v>77</v>
      </c>
      <c r="C4" s="12">
        <v>1135.654</v>
      </c>
      <c r="D4" s="12">
        <v>863.4400000000001</v>
      </c>
      <c r="E4" s="13">
        <v>0.3152668396182712</v>
      </c>
      <c r="F4" s="13">
        <v>0.3152668396182712</v>
      </c>
      <c r="G4" s="13">
        <v>0.2828769599204735</v>
      </c>
      <c r="H4" s="14">
        <v>1101</v>
      </c>
    </row>
    <row r="5" spans="1:8">
      <c r="A5" s="11" t="s">
        <v>36</v>
      </c>
      <c r="B5" s="11" t="s">
        <v>84</v>
      </c>
      <c r="C5" s="12">
        <v>313.6055085664715</v>
      </c>
      <c r="D5" s="12">
        <v>339.9270933847969</v>
      </c>
      <c r="E5" s="13">
        <v>-0.07743302999543311</v>
      </c>
      <c r="F5" s="13">
        <v>-0.08781895600063072</v>
      </c>
      <c r="G5" s="13">
        <v>-0.08899530649530651</v>
      </c>
      <c r="H5" s="14">
        <v>305</v>
      </c>
    </row>
    <row r="6" spans="1:8">
      <c r="A6" s="11" t="s">
        <v>36</v>
      </c>
      <c r="B6" s="11" t="s">
        <v>92</v>
      </c>
      <c r="C6" s="12">
        <v>595.1888416944093</v>
      </c>
      <c r="D6" s="12">
        <v>631.0887925131249</v>
      </c>
      <c r="E6" s="13">
        <v>-0.05688573659461538</v>
      </c>
      <c r="F6" s="13">
        <v>-0.06237521701388893</v>
      </c>
      <c r="G6" s="13">
        <v>-0.1255512641041642</v>
      </c>
      <c r="H6" s="14">
        <v>618</v>
      </c>
    </row>
    <row r="7" spans="1:8">
      <c r="A7" s="11" t="s">
        <v>36</v>
      </c>
      <c r="B7" s="11" t="s">
        <v>98</v>
      </c>
      <c r="C7" s="12">
        <v>215.501</v>
      </c>
      <c r="D7" s="12">
        <v>253.7</v>
      </c>
      <c r="E7" s="13">
        <v>-0.1505675995270004</v>
      </c>
      <c r="F7" s="13">
        <v>-0.1505675995270004</v>
      </c>
      <c r="G7" s="13">
        <v>-0.04632915873788557</v>
      </c>
      <c r="H7" s="14">
        <v>204</v>
      </c>
    </row>
    <row r="8" spans="1:8">
      <c r="A8" s="11" t="s">
        <v>36</v>
      </c>
      <c r="B8" s="11" t="s">
        <v>103</v>
      </c>
      <c r="C8" s="12">
        <v>172.841</v>
      </c>
      <c r="D8" s="12">
        <v>155.7</v>
      </c>
      <c r="E8" s="13">
        <v>0.1100899165061016</v>
      </c>
      <c r="F8" s="13">
        <v>0.1100899165061016</v>
      </c>
      <c r="G8" s="13">
        <v>-0.06400411567204589</v>
      </c>
      <c r="H8" s="14">
        <v>172</v>
      </c>
    </row>
    <row r="9" spans="1:8">
      <c r="A9" s="11" t="s">
        <v>36</v>
      </c>
      <c r="B9" s="11" t="s">
        <v>106</v>
      </c>
      <c r="C9" s="12">
        <v>134.77</v>
      </c>
      <c r="D9" s="12">
        <v>101.05</v>
      </c>
      <c r="E9" s="13">
        <v>0.333696190004948</v>
      </c>
      <c r="F9" s="13">
        <v>0.333696190004948</v>
      </c>
      <c r="G9" s="13">
        <v>-0.132363355436812</v>
      </c>
      <c r="H9" s="14">
        <v>133</v>
      </c>
    </row>
    <row r="10" spans="1:8">
      <c r="A10" s="11" t="s">
        <v>36</v>
      </c>
      <c r="B10" s="11" t="s">
        <v>109</v>
      </c>
      <c r="C10" s="12">
        <v>74.88511060198026</v>
      </c>
      <c r="D10" s="12">
        <v>92.55732868445756</v>
      </c>
      <c r="E10" s="13">
        <v>-0.1909326720385878</v>
      </c>
      <c r="F10" s="13">
        <v>-0.1902057374674008</v>
      </c>
      <c r="G10" s="13">
        <v>-0.2350608072043466</v>
      </c>
      <c r="H10" s="14">
        <v>66</v>
      </c>
    </row>
    <row r="11" spans="1:8">
      <c r="A11" s="11" t="s">
        <v>36</v>
      </c>
      <c r="B11" s="11" t="s">
        <v>113</v>
      </c>
      <c r="C11" s="12">
        <v>117.7277360763599</v>
      </c>
      <c r="D11" s="12">
        <v>164.575922111964</v>
      </c>
      <c r="E11" s="13">
        <v>-0.2846600245917652</v>
      </c>
      <c r="F11" s="13">
        <v>-0.2773606370875996</v>
      </c>
      <c r="G11" s="13">
        <v>-0.3006427106700982</v>
      </c>
      <c r="H11" s="14">
        <v>160</v>
      </c>
    </row>
    <row r="12" spans="1:8">
      <c r="A12" s="11" t="s">
        <v>37</v>
      </c>
      <c r="B12" s="11" t="s">
        <v>117</v>
      </c>
      <c r="C12" s="12">
        <v>806.4036580178648</v>
      </c>
      <c r="D12" s="12">
        <v>711.9219528966821</v>
      </c>
      <c r="E12" s="13">
        <v>0.1327135716727847</v>
      </c>
      <c r="F12" s="13">
        <v>0.1444944159372172</v>
      </c>
      <c r="G12" s="13">
        <v>-0.07798982599138216</v>
      </c>
      <c r="H12" s="14">
        <v>809</v>
      </c>
    </row>
    <row r="13" spans="1:8">
      <c r="A13" s="11" t="s">
        <v>37</v>
      </c>
      <c r="B13" s="11" t="s">
        <v>129</v>
      </c>
      <c r="C13" s="12">
        <v>119.8808200568112</v>
      </c>
      <c r="D13" s="12">
        <v>151.4580653066225</v>
      </c>
      <c r="E13" s="13">
        <v>-0.2084883705987142</v>
      </c>
      <c r="F13" s="13">
        <v>-0.214743654565679</v>
      </c>
      <c r="G13" s="13">
        <v>-0.3591389429901297</v>
      </c>
      <c r="H13" s="14">
        <v>128</v>
      </c>
    </row>
    <row r="14" spans="1:8">
      <c r="A14" s="11" t="s">
        <v>38</v>
      </c>
      <c r="B14" s="11" t="s">
        <v>133</v>
      </c>
      <c r="C14" s="12">
        <v>1061.909530185713</v>
      </c>
      <c r="D14" s="12">
        <v>1103.156089193825</v>
      </c>
      <c r="E14" s="13">
        <v>-0.03738959464771141</v>
      </c>
      <c r="F14" s="13">
        <v>-0.05461641322262645</v>
      </c>
      <c r="G14" s="13">
        <v>-0.1916582122898343</v>
      </c>
      <c r="H14" s="14">
        <v>947</v>
      </c>
    </row>
    <row r="15" spans="1:8">
      <c r="A15" s="11" t="s">
        <v>38</v>
      </c>
      <c r="B15" s="11" t="s">
        <v>141</v>
      </c>
      <c r="C15" s="12">
        <v>1428.019426965605</v>
      </c>
      <c r="D15" s="12">
        <v>958.7657613967023</v>
      </c>
      <c r="E15" s="13">
        <v>0.4894351513818225</v>
      </c>
      <c r="F15" s="13">
        <v>0.4779682342973479</v>
      </c>
      <c r="G15" s="13">
        <v>0.1792638334676628</v>
      </c>
      <c r="H15" s="14">
        <v>1234</v>
      </c>
    </row>
    <row r="16" spans="1:8">
      <c r="A16" s="11" t="s">
        <v>38</v>
      </c>
      <c r="B16" s="11" t="s">
        <v>149</v>
      </c>
      <c r="C16" s="12">
        <v>1714.21158025837</v>
      </c>
      <c r="D16" s="12">
        <v>1331.673488225221</v>
      </c>
      <c r="E16" s="13">
        <v>0.2872611758179364</v>
      </c>
      <c r="F16" s="13">
        <v>0.280397825730077</v>
      </c>
      <c r="G16" s="13">
        <v>0.09930673206575612</v>
      </c>
      <c r="H16" s="14">
        <v>1238</v>
      </c>
    </row>
    <row r="17" spans="1:8">
      <c r="A17" s="11" t="s">
        <v>38</v>
      </c>
      <c r="B17" s="11" t="s">
        <v>157</v>
      </c>
      <c r="C17" s="12">
        <v>262.0326119052045</v>
      </c>
      <c r="D17" s="12">
        <v>181.4850785802578</v>
      </c>
      <c r="E17" s="13">
        <v>0.4438245499578433</v>
      </c>
      <c r="F17" s="13">
        <v>0.4570664072001944</v>
      </c>
      <c r="G17" s="13">
        <v>0.2251523511003846</v>
      </c>
      <c r="H17" s="14">
        <v>275</v>
      </c>
    </row>
    <row r="18" spans="1:8">
      <c r="A18" s="11" t="s">
        <v>38</v>
      </c>
      <c r="B18" s="11" t="s">
        <v>161</v>
      </c>
      <c r="C18" s="12">
        <v>118.0781379883624</v>
      </c>
      <c r="D18" s="12">
        <v>128.8154578549426</v>
      </c>
      <c r="E18" s="13">
        <v>-0.08335428096425612</v>
      </c>
      <c r="F18" s="13">
        <v>-0.0736</v>
      </c>
      <c r="G18" s="13">
        <v>-0.2252121313496227</v>
      </c>
      <c r="H18" s="14">
        <v>125</v>
      </c>
    </row>
    <row r="19" spans="1:8">
      <c r="A19" s="11" t="s">
        <v>38</v>
      </c>
      <c r="B19" s="11" t="s">
        <v>165</v>
      </c>
      <c r="C19" s="12">
        <v>114.9287371561154</v>
      </c>
      <c r="D19" s="12">
        <v>140.6672380826795</v>
      </c>
      <c r="E19" s="13">
        <v>-0.1829743817919843</v>
      </c>
      <c r="F19" s="13">
        <v>-0.1873916100304663</v>
      </c>
      <c r="G19" s="13">
        <v>-0.255030723616363</v>
      </c>
      <c r="H19" s="14">
        <v>118</v>
      </c>
    </row>
    <row r="20" spans="1:8">
      <c r="A20" s="11" t="s">
        <v>38</v>
      </c>
      <c r="B20" s="11" t="s">
        <v>169</v>
      </c>
      <c r="C20" s="12">
        <v>48.23985511347558</v>
      </c>
      <c r="D20" s="12">
        <v>54.33667654433554</v>
      </c>
      <c r="E20" s="13">
        <v>-0.11220453326558</v>
      </c>
      <c r="F20" s="13">
        <v>-0.1060828526481383</v>
      </c>
      <c r="G20" s="13">
        <v>-0.1048897290485192</v>
      </c>
      <c r="H20" s="14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cols>
    <col min="2" max="2" width="28.7109375" customWidth="1"/>
    <col min="3" max="9" width="10.7109375" customWidth="1"/>
  </cols>
  <sheetData>
    <row r="1" spans="1:9">
      <c r="A1" s="9" t="s">
        <v>175</v>
      </c>
    </row>
    <row r="2" spans="1:9">
      <c r="A2" s="10" t="s">
        <v>42</v>
      </c>
      <c r="B2" s="10" t="s">
        <v>43</v>
      </c>
      <c r="C2" s="10" t="s">
        <v>176</v>
      </c>
      <c r="D2" s="10" t="s">
        <v>177</v>
      </c>
      <c r="E2" s="10" t="s">
        <v>178</v>
      </c>
      <c r="F2" s="10" t="s">
        <v>179</v>
      </c>
      <c r="G2" s="10" t="s">
        <v>180</v>
      </c>
      <c r="H2" s="10" t="s">
        <v>181</v>
      </c>
      <c r="I2" s="10" t="s">
        <v>182</v>
      </c>
    </row>
    <row r="3" spans="1:9">
      <c r="A3" s="11" t="s">
        <v>57</v>
      </c>
      <c r="B3" s="11" t="s">
        <v>58</v>
      </c>
      <c r="C3" s="14">
        <v>62735</v>
      </c>
      <c r="D3" s="14">
        <v>46550</v>
      </c>
      <c r="E3" s="14">
        <v>94760</v>
      </c>
      <c r="F3" s="14">
        <v>100940</v>
      </c>
      <c r="G3" s="14">
        <v>136135</v>
      </c>
      <c r="H3" s="14">
        <v>125116</v>
      </c>
      <c r="I3" s="14">
        <v>86496</v>
      </c>
    </row>
    <row r="4" spans="1:9">
      <c r="A4" s="11" t="s">
        <v>62</v>
      </c>
      <c r="B4" s="11" t="s">
        <v>63</v>
      </c>
      <c r="C4" s="14">
        <v>32950</v>
      </c>
      <c r="D4" s="14">
        <v>18280</v>
      </c>
      <c r="E4" s="14">
        <v>18390</v>
      </c>
      <c r="F4" s="14">
        <v>26290</v>
      </c>
      <c r="G4" s="14">
        <v>56125</v>
      </c>
      <c r="H4" s="14">
        <v>53031</v>
      </c>
      <c r="I4" s="14">
        <v>41070</v>
      </c>
    </row>
    <row r="5" spans="1:9">
      <c r="A5" s="11" t="s">
        <v>64</v>
      </c>
      <c r="B5" s="11" t="s">
        <v>65</v>
      </c>
      <c r="C5" s="14">
        <v>14530</v>
      </c>
      <c r="D5" s="14">
        <v>7365</v>
      </c>
      <c r="E5" s="14">
        <v>23980</v>
      </c>
      <c r="F5" s="14">
        <v>31980</v>
      </c>
      <c r="G5" s="14">
        <v>29620</v>
      </c>
      <c r="H5" s="14">
        <v>43680</v>
      </c>
      <c r="I5" s="14">
        <v>24880</v>
      </c>
    </row>
    <row r="6" spans="1:9">
      <c r="A6" s="11" t="s">
        <v>66</v>
      </c>
      <c r="B6" s="11" t="s">
        <v>67</v>
      </c>
      <c r="C6" s="14">
        <v>23090</v>
      </c>
      <c r="D6" s="14">
        <v>18510</v>
      </c>
      <c r="E6" s="14">
        <v>28340</v>
      </c>
      <c r="F6" s="14">
        <v>39010</v>
      </c>
      <c r="G6" s="14">
        <v>40210</v>
      </c>
      <c r="H6" s="14">
        <v>67360</v>
      </c>
      <c r="I6" s="14">
        <v>43550</v>
      </c>
    </row>
    <row r="7" spans="1:9">
      <c r="A7" s="11" t="s">
        <v>68</v>
      </c>
      <c r="B7" s="11" t="s">
        <v>69</v>
      </c>
      <c r="C7" s="11" t="s">
        <v>183</v>
      </c>
      <c r="D7" s="11" t="s">
        <v>183</v>
      </c>
      <c r="E7" s="11" t="s">
        <v>183</v>
      </c>
      <c r="F7" s="11" t="s">
        <v>183</v>
      </c>
      <c r="G7" s="11" t="s">
        <v>183</v>
      </c>
      <c r="H7" s="11" t="s">
        <v>183</v>
      </c>
      <c r="I7" s="11" t="s">
        <v>183</v>
      </c>
    </row>
    <row r="8" spans="1:9">
      <c r="A8" s="11" t="s">
        <v>73</v>
      </c>
      <c r="B8" s="11" t="s">
        <v>74</v>
      </c>
      <c r="C8" s="14">
        <v>6330</v>
      </c>
      <c r="D8" s="14">
        <v>1740</v>
      </c>
      <c r="E8" s="14">
        <v>4680</v>
      </c>
      <c r="F8" s="11" t="s">
        <v>183</v>
      </c>
      <c r="G8" s="14">
        <v>18470</v>
      </c>
      <c r="H8" s="14">
        <v>6390</v>
      </c>
      <c r="I8" s="14">
        <v>4730</v>
      </c>
    </row>
    <row r="9" spans="1:9">
      <c r="A9" s="11" t="s">
        <v>75</v>
      </c>
      <c r="B9" s="11" t="s">
        <v>76</v>
      </c>
      <c r="C9" s="14">
        <v>61330</v>
      </c>
      <c r="D9" s="14">
        <v>90089</v>
      </c>
      <c r="E9" s="14">
        <v>84650</v>
      </c>
      <c r="F9" s="14">
        <v>75093</v>
      </c>
      <c r="G9" s="14">
        <v>135600</v>
      </c>
      <c r="H9" s="14">
        <v>175658</v>
      </c>
      <c r="I9" s="11" t="s">
        <v>183</v>
      </c>
    </row>
    <row r="10" spans="1:9">
      <c r="A10" s="11" t="s">
        <v>78</v>
      </c>
      <c r="B10" s="11" t="s">
        <v>79</v>
      </c>
      <c r="C10" s="14">
        <v>26580</v>
      </c>
      <c r="D10" s="14">
        <v>22351</v>
      </c>
      <c r="E10" s="14">
        <v>41510</v>
      </c>
      <c r="F10" s="14">
        <v>60110</v>
      </c>
      <c r="G10" s="14">
        <v>97710</v>
      </c>
      <c r="H10" s="14">
        <v>126855</v>
      </c>
      <c r="I10" s="14">
        <v>81517</v>
      </c>
    </row>
    <row r="11" spans="1:9">
      <c r="A11" s="11" t="s">
        <v>80</v>
      </c>
      <c r="B11" s="11" t="s">
        <v>81</v>
      </c>
      <c r="C11" s="14">
        <v>6731</v>
      </c>
      <c r="D11" s="14">
        <v>8710</v>
      </c>
      <c r="E11" s="14">
        <v>6850</v>
      </c>
      <c r="F11" s="14">
        <v>10210</v>
      </c>
      <c r="G11" s="14">
        <v>5960</v>
      </c>
      <c r="H11" s="14">
        <v>18140</v>
      </c>
      <c r="I11" s="11" t="s">
        <v>183</v>
      </c>
    </row>
    <row r="12" spans="1:9">
      <c r="A12" s="11" t="s">
        <v>82</v>
      </c>
      <c r="B12" s="11" t="s">
        <v>83</v>
      </c>
      <c r="C12" s="14">
        <v>15153.9796139666</v>
      </c>
      <c r="D12" s="14">
        <v>6950.769898069833</v>
      </c>
      <c r="E12" s="14">
        <v>8392.973324658426</v>
      </c>
      <c r="F12" s="14">
        <v>9976.144003469963</v>
      </c>
      <c r="G12" s="14">
        <v>27825.85122533073</v>
      </c>
      <c r="H12" s="14">
        <v>25238.55996530037</v>
      </c>
      <c r="I12" s="11" t="s">
        <v>183</v>
      </c>
    </row>
    <row r="13" spans="1:9">
      <c r="A13" s="11" t="s">
        <v>86</v>
      </c>
      <c r="B13" s="11" t="s">
        <v>87</v>
      </c>
      <c r="C13" s="14">
        <v>19583.60442420299</v>
      </c>
      <c r="D13" s="14">
        <v>18065.49555410974</v>
      </c>
      <c r="E13" s="14">
        <v>17479.9392756452</v>
      </c>
      <c r="F13" s="14">
        <v>22924.52830188679</v>
      </c>
      <c r="G13" s="14">
        <v>36241.59618304056</v>
      </c>
      <c r="H13" s="14">
        <v>66442.20342658859</v>
      </c>
      <c r="I13" s="11" t="s">
        <v>183</v>
      </c>
    </row>
    <row r="14" spans="1:9">
      <c r="A14" s="11" t="s">
        <v>88</v>
      </c>
      <c r="B14" s="11" t="s">
        <v>89</v>
      </c>
      <c r="C14" s="14">
        <v>3209.715896768597</v>
      </c>
      <c r="D14" s="14">
        <v>4716.981132075472</v>
      </c>
      <c r="E14" s="14">
        <v>6408.588158750813</v>
      </c>
      <c r="F14" s="14">
        <v>2732.595966167859</v>
      </c>
      <c r="G14" s="14">
        <v>6560.399045760139</v>
      </c>
      <c r="H14" s="14">
        <v>7709.82433311646</v>
      </c>
      <c r="I14" s="14">
        <v>7991.758837562351</v>
      </c>
    </row>
    <row r="15" spans="1:9">
      <c r="A15" s="11" t="s">
        <v>90</v>
      </c>
      <c r="B15" s="11" t="s">
        <v>91</v>
      </c>
      <c r="C15" s="14">
        <v>57831.47744231432</v>
      </c>
      <c r="D15" s="14">
        <v>31788.54322121456</v>
      </c>
      <c r="E15" s="14">
        <v>45442.54390999885</v>
      </c>
      <c r="F15" s="14">
        <v>57995.63769946045</v>
      </c>
      <c r="G15" s="14">
        <v>50246.8143726323</v>
      </c>
      <c r="H15" s="14">
        <v>88543.22121455631</v>
      </c>
      <c r="I15" s="14">
        <v>47434.27849845024</v>
      </c>
    </row>
    <row r="16" spans="1:9">
      <c r="A16" s="11" t="s">
        <v>94</v>
      </c>
      <c r="B16" s="11" t="s">
        <v>95</v>
      </c>
      <c r="C16" s="14">
        <v>16438.98519113764</v>
      </c>
      <c r="D16" s="14">
        <v>21375.27264378372</v>
      </c>
      <c r="E16" s="14">
        <v>18798.07140397199</v>
      </c>
      <c r="F16" s="14">
        <v>23212.03076569854</v>
      </c>
      <c r="G16" s="14">
        <v>30284.6975088968</v>
      </c>
      <c r="H16" s="14">
        <v>65741.01710481002</v>
      </c>
      <c r="I16" s="14">
        <v>40056.25071748364</v>
      </c>
    </row>
    <row r="17" spans="1:9">
      <c r="A17" s="11" t="s">
        <v>96</v>
      </c>
      <c r="B17" s="11" t="s">
        <v>97</v>
      </c>
      <c r="C17" s="14">
        <v>29050</v>
      </c>
      <c r="D17" s="14">
        <v>19465</v>
      </c>
      <c r="E17" s="14">
        <v>25490</v>
      </c>
      <c r="F17" s="14">
        <v>36130</v>
      </c>
      <c r="G17" s="14">
        <v>30990</v>
      </c>
      <c r="H17" s="11" t="s">
        <v>183</v>
      </c>
      <c r="I17" s="11" t="s">
        <v>183</v>
      </c>
    </row>
    <row r="18" spans="1:9">
      <c r="A18" s="11" t="s">
        <v>99</v>
      </c>
      <c r="B18" s="11" t="s">
        <v>100</v>
      </c>
      <c r="C18" s="14">
        <v>14330</v>
      </c>
      <c r="D18" s="14">
        <v>11200</v>
      </c>
      <c r="E18" s="14">
        <v>10850</v>
      </c>
      <c r="F18" s="14">
        <v>23746</v>
      </c>
      <c r="G18" s="14">
        <v>14250</v>
      </c>
      <c r="H18" s="11" t="s">
        <v>183</v>
      </c>
      <c r="I18" s="11" t="s">
        <v>183</v>
      </c>
    </row>
    <row r="19" spans="1:9">
      <c r="A19" s="11" t="s">
        <v>101</v>
      </c>
      <c r="B19" s="11" t="s">
        <v>102</v>
      </c>
      <c r="C19" s="14">
        <v>23905</v>
      </c>
      <c r="D19" s="14">
        <v>27481</v>
      </c>
      <c r="E19" s="14">
        <v>21675</v>
      </c>
      <c r="F19" s="14">
        <v>11000</v>
      </c>
      <c r="G19" s="14">
        <v>27610</v>
      </c>
      <c r="H19" s="14">
        <v>26300</v>
      </c>
      <c r="I19" s="14">
        <v>34870</v>
      </c>
    </row>
    <row r="20" spans="1:9">
      <c r="A20" s="11" t="s">
        <v>104</v>
      </c>
      <c r="B20" s="11" t="s">
        <v>105</v>
      </c>
      <c r="C20" s="14">
        <v>15845</v>
      </c>
      <c r="D20" s="14">
        <v>19370</v>
      </c>
      <c r="E20" s="14">
        <v>11045</v>
      </c>
      <c r="F20" s="14">
        <v>22260</v>
      </c>
      <c r="G20" s="14">
        <v>23800</v>
      </c>
      <c r="H20" s="14">
        <v>32350</v>
      </c>
      <c r="I20" s="14">
        <v>10100</v>
      </c>
    </row>
    <row r="21" spans="1:9">
      <c r="A21" s="11" t="s">
        <v>107</v>
      </c>
      <c r="B21" s="11" t="s">
        <v>108</v>
      </c>
      <c r="C21" s="14">
        <v>9244.744563688251</v>
      </c>
      <c r="D21" s="14">
        <v>12650.56205367311</v>
      </c>
      <c r="E21" s="14">
        <v>16868.30928359929</v>
      </c>
      <c r="F21" s="14">
        <v>6833.072068813055</v>
      </c>
      <c r="G21" s="14">
        <v>9043.771855781984</v>
      </c>
      <c r="H21" s="14">
        <v>20244.65077642456</v>
      </c>
      <c r="I21" s="11" t="s">
        <v>183</v>
      </c>
    </row>
    <row r="22" spans="1:9">
      <c r="A22" s="11" t="s">
        <v>111</v>
      </c>
      <c r="B22" s="11" t="s">
        <v>112</v>
      </c>
      <c r="C22" s="14">
        <v>9799.833194328608</v>
      </c>
      <c r="D22" s="14">
        <v>12417.75553702159</v>
      </c>
      <c r="E22" s="14">
        <v>17943.193401909</v>
      </c>
      <c r="F22" s="14">
        <v>12742.0998980632</v>
      </c>
      <c r="G22" s="14">
        <v>17630.43276804745</v>
      </c>
      <c r="H22" s="14">
        <v>20609.76739875822</v>
      </c>
      <c r="I22" s="14">
        <v>26584.65387823186</v>
      </c>
    </row>
    <row r="23" spans="1:9">
      <c r="A23" s="11" t="s">
        <v>115</v>
      </c>
      <c r="B23" s="11" t="s">
        <v>116</v>
      </c>
      <c r="C23" s="14">
        <v>33658.01786473841</v>
      </c>
      <c r="D23" s="14">
        <v>42832.83709059974</v>
      </c>
      <c r="E23" s="14">
        <v>36535.51680136113</v>
      </c>
      <c r="F23" s="14">
        <v>53164.61080391323</v>
      </c>
      <c r="G23" s="14">
        <v>66125.05316886431</v>
      </c>
      <c r="H23" s="14">
        <v>52190.557209698</v>
      </c>
      <c r="I23" s="14">
        <v>38345.38494257763</v>
      </c>
    </row>
    <row r="24" spans="1:9">
      <c r="A24" s="11" t="s">
        <v>119</v>
      </c>
      <c r="B24" s="11" t="s">
        <v>120</v>
      </c>
      <c r="C24" s="14">
        <v>36282.43300723097</v>
      </c>
      <c r="D24" s="14">
        <v>18034.87877498937</v>
      </c>
      <c r="E24" s="14">
        <v>28732.45427477669</v>
      </c>
      <c r="F24" s="14">
        <v>31218.6303700553</v>
      </c>
      <c r="G24" s="14">
        <v>23032.75202041684</v>
      </c>
      <c r="H24" s="14">
        <v>51467.46065504041</v>
      </c>
      <c r="I24" s="14">
        <v>54168.43896214377</v>
      </c>
    </row>
    <row r="25" spans="1:9">
      <c r="A25" s="11" t="s">
        <v>121</v>
      </c>
      <c r="B25" s="11" t="s">
        <v>122</v>
      </c>
      <c r="C25" s="14">
        <v>19715.01488728201</v>
      </c>
      <c r="D25" s="14">
        <v>2615.908124202467</v>
      </c>
      <c r="E25" s="14">
        <v>2403.232666950234</v>
      </c>
      <c r="F25" s="14">
        <v>10017.01403658018</v>
      </c>
      <c r="G25" s="14">
        <v>11846.02296894938</v>
      </c>
      <c r="H25" s="14">
        <v>4359.846873670778</v>
      </c>
      <c r="I25" s="14">
        <v>9400.255210548703</v>
      </c>
    </row>
    <row r="26" spans="1:9">
      <c r="A26" s="11" t="s">
        <v>123</v>
      </c>
      <c r="B26" s="11" t="s">
        <v>124</v>
      </c>
      <c r="C26" s="14">
        <v>21225.01063377286</v>
      </c>
      <c r="D26" s="14">
        <v>13164.61080391323</v>
      </c>
      <c r="E26" s="14">
        <v>24202.46703530413</v>
      </c>
      <c r="F26" s="14">
        <v>25761.37813696299</v>
      </c>
      <c r="G26" s="14">
        <v>21422.79880901744</v>
      </c>
      <c r="H26" s="14">
        <v>27796.68226286687</v>
      </c>
      <c r="I26" s="14">
        <v>29817.09910676308</v>
      </c>
    </row>
    <row r="27" spans="1:9">
      <c r="A27" s="11" t="s">
        <v>125</v>
      </c>
      <c r="B27" s="11" t="s">
        <v>126</v>
      </c>
      <c r="C27" s="11" t="s">
        <v>183</v>
      </c>
      <c r="D27" s="14">
        <v>3296.469587409613</v>
      </c>
      <c r="E27" s="14">
        <v>1169.715014887282</v>
      </c>
      <c r="F27" s="14">
        <v>-1127.179923436835</v>
      </c>
      <c r="G27" s="14">
        <v>1722.671203743088</v>
      </c>
      <c r="H27" s="14">
        <v>4827.732879625692</v>
      </c>
      <c r="I27" s="14">
        <v>6977.881752445768</v>
      </c>
    </row>
    <row r="28" spans="1:9">
      <c r="A28" s="11" t="s">
        <v>127</v>
      </c>
      <c r="B28" s="11" t="s">
        <v>128</v>
      </c>
      <c r="C28" s="14">
        <v>10312.46140545881</v>
      </c>
      <c r="D28" s="14">
        <v>12489.19352846733</v>
      </c>
      <c r="E28" s="14">
        <v>20578.60936149191</v>
      </c>
      <c r="F28" s="14">
        <v>12164.99938248734</v>
      </c>
      <c r="G28" s="14">
        <v>36717.30270470545</v>
      </c>
      <c r="H28" s="14">
        <v>18401.87723848339</v>
      </c>
      <c r="I28" s="14">
        <v>9216.376435716933</v>
      </c>
    </row>
    <row r="29" spans="1:9">
      <c r="A29" s="11" t="s">
        <v>131</v>
      </c>
      <c r="B29" s="11" t="s">
        <v>132</v>
      </c>
      <c r="C29" s="14">
        <v>42358.96838796065</v>
      </c>
      <c r="D29" s="14">
        <v>46538.97653839436</v>
      </c>
      <c r="E29" s="14">
        <v>105723.3509926064</v>
      </c>
      <c r="F29" s="14">
        <v>61731.96716539558</v>
      </c>
      <c r="G29" s="14">
        <v>58426.96629213483</v>
      </c>
      <c r="H29" s="14">
        <v>113841.182977237</v>
      </c>
      <c r="I29" s="14">
        <v>129782.8491587588</v>
      </c>
    </row>
    <row r="30" spans="1:9">
      <c r="A30" s="11" t="s">
        <v>135</v>
      </c>
      <c r="B30" s="11" t="s">
        <v>136</v>
      </c>
      <c r="C30" s="14">
        <v>26186.17919310706</v>
      </c>
      <c r="D30" s="14">
        <v>20149.03650229959</v>
      </c>
      <c r="E30" s="14">
        <v>14205.04162542935</v>
      </c>
      <c r="F30" s="14">
        <v>26974.44256855097</v>
      </c>
      <c r="G30" s="14">
        <v>42725.73790533853</v>
      </c>
      <c r="H30" s="14">
        <v>47086.21994527565</v>
      </c>
      <c r="I30" s="14">
        <v>36316.5861326192</v>
      </c>
    </row>
    <row r="31" spans="1:9">
      <c r="A31" s="11" t="s">
        <v>137</v>
      </c>
      <c r="B31" s="11" t="s">
        <v>138</v>
      </c>
      <c r="C31" s="14">
        <v>16047.62181987541</v>
      </c>
      <c r="D31" s="14">
        <v>21167.84071723817</v>
      </c>
      <c r="E31" s="14">
        <v>21185.3059323514</v>
      </c>
      <c r="F31" s="14">
        <v>35297.19974384351</v>
      </c>
      <c r="G31" s="14">
        <v>45694.242300751</v>
      </c>
      <c r="H31" s="14">
        <v>71934.56366070909</v>
      </c>
      <c r="I31" s="14">
        <v>78535.25062583687</v>
      </c>
    </row>
    <row r="32" spans="1:9">
      <c r="A32" s="11" t="s">
        <v>139</v>
      </c>
      <c r="B32" s="11" t="s">
        <v>140</v>
      </c>
      <c r="C32" s="14">
        <v>65056.50925529965</v>
      </c>
      <c r="D32" s="14">
        <v>87791.55721180279</v>
      </c>
      <c r="E32" s="14">
        <v>99596.18791618303</v>
      </c>
      <c r="F32" s="14">
        <v>85568.45256277108</v>
      </c>
      <c r="G32" s="14">
        <v>125295.9863155965</v>
      </c>
      <c r="H32" s="14">
        <v>194373.510904759</v>
      </c>
      <c r="I32" s="14">
        <v>138804.4474311198</v>
      </c>
    </row>
    <row r="33" spans="1:9">
      <c r="A33" s="11" t="s">
        <v>143</v>
      </c>
      <c r="B33" s="11" t="s">
        <v>144</v>
      </c>
      <c r="C33" s="14">
        <v>32904.27026696805</v>
      </c>
      <c r="D33" s="14">
        <v>47967.49954181685</v>
      </c>
      <c r="E33" s="14">
        <v>40912.70083694789</v>
      </c>
      <c r="F33" s="14">
        <v>63711.89443460199</v>
      </c>
      <c r="G33" s="14">
        <v>55149.97861811961</v>
      </c>
      <c r="H33" s="14">
        <v>96723.0741034883</v>
      </c>
      <c r="I33" s="14">
        <v>107501.9854603213</v>
      </c>
    </row>
    <row r="34" spans="1:9">
      <c r="A34" s="11" t="s">
        <v>145</v>
      </c>
      <c r="B34" s="11" t="s">
        <v>146</v>
      </c>
      <c r="C34" s="14">
        <v>15932.55544016128</v>
      </c>
      <c r="D34" s="14">
        <v>15620.37998655996</v>
      </c>
      <c r="E34" s="14">
        <v>26924.06377909463</v>
      </c>
      <c r="F34" s="14">
        <v>36250.22909157554</v>
      </c>
      <c r="G34" s="14">
        <v>20575.47803775429</v>
      </c>
      <c r="H34" s="14">
        <v>41144.84696682754</v>
      </c>
      <c r="I34" s="14">
        <v>30213.81880383652</v>
      </c>
    </row>
    <row r="35" spans="1:9">
      <c r="A35" s="11" t="s">
        <v>147</v>
      </c>
      <c r="B35" s="11" t="s">
        <v>148</v>
      </c>
      <c r="C35" s="14">
        <v>28584.33661383672</v>
      </c>
      <c r="D35" s="14">
        <v>51796.13665779384</v>
      </c>
      <c r="E35" s="14">
        <v>35568.63415468021</v>
      </c>
      <c r="F35" s="14">
        <v>101103.8120589025</v>
      </c>
      <c r="G35" s="14">
        <v>125060.4410364111</v>
      </c>
      <c r="H35" s="14">
        <v>217129.8444406457</v>
      </c>
      <c r="I35" s="14">
        <v>162398.3491660358</v>
      </c>
    </row>
    <row r="36" spans="1:9">
      <c r="A36" s="11" t="s">
        <v>151</v>
      </c>
      <c r="B36" s="11" t="s">
        <v>152</v>
      </c>
      <c r="C36" s="14">
        <v>54775.4523919998</v>
      </c>
      <c r="D36" s="14">
        <v>60334.80671078659</v>
      </c>
      <c r="E36" s="14">
        <v>59769.46933991062</v>
      </c>
      <c r="F36" s="14">
        <v>55068.49984126596</v>
      </c>
      <c r="G36" s="14">
        <v>96914.45456543505</v>
      </c>
      <c r="H36" s="14">
        <v>106976.9713546118</v>
      </c>
      <c r="I36" s="14">
        <v>95036.50882805442</v>
      </c>
    </row>
    <row r="37" spans="1:9">
      <c r="A37" s="11" t="s">
        <v>153</v>
      </c>
      <c r="B37" s="11" t="s">
        <v>154</v>
      </c>
      <c r="C37" s="14">
        <v>34286.55156414076</v>
      </c>
      <c r="D37" s="14">
        <v>39011.9416835576</v>
      </c>
      <c r="E37" s="14">
        <v>49402.9158221202</v>
      </c>
      <c r="F37" s="14">
        <v>54665.559598525</v>
      </c>
      <c r="G37" s="14">
        <v>77028.74307064885</v>
      </c>
      <c r="H37" s="14">
        <v>105168.6243864319</v>
      </c>
      <c r="I37" s="14">
        <v>104129.5269725756</v>
      </c>
    </row>
    <row r="38" spans="1:9">
      <c r="A38" s="11" t="s">
        <v>155</v>
      </c>
      <c r="B38" s="11" t="s">
        <v>156</v>
      </c>
      <c r="C38" s="14">
        <v>25033.08216406566</v>
      </c>
      <c r="D38" s="14">
        <v>15267.00860683078</v>
      </c>
      <c r="E38" s="14">
        <v>26761.01007228863</v>
      </c>
      <c r="F38" s="14">
        <v>38725.27039884513</v>
      </c>
      <c r="G38" s="14">
        <v>61024.28941698837</v>
      </c>
      <c r="H38" s="14">
        <v>63736.48005774341</v>
      </c>
      <c r="I38" s="14">
        <v>31485.47118844257</v>
      </c>
    </row>
    <row r="39" spans="1:9">
      <c r="A39" s="11" t="s">
        <v>159</v>
      </c>
      <c r="B39" s="11" t="s">
        <v>160</v>
      </c>
      <c r="C39" s="14">
        <v>11463.00914380715</v>
      </c>
      <c r="D39" s="14">
        <v>7245.774452756996</v>
      </c>
      <c r="E39" s="14">
        <v>7708.506511499029</v>
      </c>
      <c r="F39" s="14">
        <v>22707.12108617345</v>
      </c>
      <c r="G39" s="14">
        <v>12477.14048212801</v>
      </c>
      <c r="H39" s="14">
        <v>39133.83208645054</v>
      </c>
      <c r="I39" s="14">
        <v>17342.75422554724</v>
      </c>
    </row>
    <row r="40" spans="1:9">
      <c r="A40" s="11" t="s">
        <v>163</v>
      </c>
      <c r="B40" s="11" t="s">
        <v>164</v>
      </c>
      <c r="C40" s="14">
        <v>9115.014915478952</v>
      </c>
      <c r="D40" s="14">
        <v>11733.51010938018</v>
      </c>
      <c r="E40" s="14">
        <v>16937.35498839907</v>
      </c>
      <c r="F40" s="14">
        <v>17613.52336758369</v>
      </c>
      <c r="G40" s="14">
        <v>11004.30891614186</v>
      </c>
      <c r="H40" s="14">
        <v>22538.94597282068</v>
      </c>
      <c r="I40" s="14">
        <v>25986.0788863109</v>
      </c>
    </row>
    <row r="41" spans="1:9">
      <c r="A41" s="11" t="s">
        <v>167</v>
      </c>
      <c r="B41" s="11" t="s">
        <v>168</v>
      </c>
      <c r="C41" s="14">
        <v>7357.518818269285</v>
      </c>
      <c r="D41" s="14">
        <v>3112.796423113929</v>
      </c>
      <c r="E41" s="14">
        <v>7329.22066896825</v>
      </c>
      <c r="F41" s="14">
        <v>8404.550342407607</v>
      </c>
      <c r="G41" s="14">
        <v>6650.065085743393</v>
      </c>
      <c r="H41" s="14">
        <v>10017.54485256664</v>
      </c>
      <c r="I41" s="14">
        <v>5368.158922406475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2" max="2" width="26.7109375" customWidth="1"/>
    <col min="3" max="6" width="13.7109375" customWidth="1"/>
  </cols>
  <sheetData>
    <row r="1" spans="1:6">
      <c r="A1" s="9" t="s">
        <v>184</v>
      </c>
    </row>
    <row r="2" spans="1:6">
      <c r="A2" s="10" t="s">
        <v>185</v>
      </c>
      <c r="B2" s="10" t="s">
        <v>186</v>
      </c>
      <c r="C2" s="10" t="s">
        <v>187</v>
      </c>
      <c r="D2" s="10" t="s">
        <v>188</v>
      </c>
      <c r="E2" s="10" t="s">
        <v>189</v>
      </c>
      <c r="F2" s="10" t="s">
        <v>190</v>
      </c>
    </row>
    <row r="3" spans="1:6">
      <c r="A3" s="11">
        <v>1</v>
      </c>
      <c r="B3" s="11" t="s">
        <v>191</v>
      </c>
      <c r="C3" s="11" t="s">
        <v>192</v>
      </c>
      <c r="D3" s="14">
        <v>987198.7003092972</v>
      </c>
      <c r="E3" s="14">
        <v>629</v>
      </c>
      <c r="F3" s="14">
        <v>23</v>
      </c>
    </row>
    <row r="4" spans="1:6">
      <c r="A4" s="11">
        <v>2</v>
      </c>
      <c r="B4" s="11" t="s">
        <v>193</v>
      </c>
      <c r="C4" s="11" t="s">
        <v>192</v>
      </c>
      <c r="D4" s="14">
        <v>908356.9609644563</v>
      </c>
      <c r="E4" s="14">
        <v>616</v>
      </c>
      <c r="F4" s="14">
        <v>15</v>
      </c>
    </row>
    <row r="5" spans="1:6">
      <c r="A5" s="11">
        <v>3</v>
      </c>
      <c r="B5" s="11" t="s">
        <v>194</v>
      </c>
      <c r="C5" s="11" t="s">
        <v>192</v>
      </c>
      <c r="D5" s="14">
        <v>684470.0767116151</v>
      </c>
      <c r="E5" s="14">
        <v>321</v>
      </c>
      <c r="F5" s="14">
        <v>5</v>
      </c>
    </row>
    <row r="6" spans="1:6">
      <c r="A6" s="11">
        <v>4</v>
      </c>
      <c r="B6" s="11" t="s">
        <v>195</v>
      </c>
      <c r="C6" s="11" t="s">
        <v>192</v>
      </c>
      <c r="D6" s="14">
        <v>496889.2594668469</v>
      </c>
      <c r="E6" s="14">
        <v>360</v>
      </c>
      <c r="F6" s="14">
        <v>9</v>
      </c>
    </row>
    <row r="7" spans="1:6">
      <c r="A7" s="11">
        <v>5</v>
      </c>
      <c r="B7" s="11" t="s">
        <v>196</v>
      </c>
      <c r="C7" s="11" t="s">
        <v>192</v>
      </c>
      <c r="D7" s="14">
        <v>448714.2180999597</v>
      </c>
      <c r="E7" s="14">
        <v>267</v>
      </c>
      <c r="F7" s="14">
        <v>7</v>
      </c>
    </row>
    <row r="8" spans="1:6">
      <c r="A8" s="11">
        <v>6</v>
      </c>
      <c r="B8" s="11" t="s">
        <v>197</v>
      </c>
      <c r="C8" s="11" t="s">
        <v>192</v>
      </c>
      <c r="D8" s="14">
        <v>445341.2656714902</v>
      </c>
      <c r="E8" s="14">
        <v>272</v>
      </c>
      <c r="F8" s="14">
        <v>5</v>
      </c>
    </row>
    <row r="9" spans="1:6">
      <c r="A9" s="11">
        <v>7</v>
      </c>
      <c r="B9" s="11" t="s">
        <v>198</v>
      </c>
      <c r="C9" s="11" t="s">
        <v>199</v>
      </c>
      <c r="D9" s="14">
        <v>410734.9022688977</v>
      </c>
      <c r="E9" s="14">
        <v>348</v>
      </c>
      <c r="F9" s="14">
        <v>9</v>
      </c>
    </row>
    <row r="10" spans="1:6">
      <c r="A10" s="11">
        <v>8</v>
      </c>
      <c r="B10" s="11" t="s">
        <v>200</v>
      </c>
      <c r="C10" s="11" t="s">
        <v>192</v>
      </c>
      <c r="D10" s="14">
        <v>386508.33485926</v>
      </c>
      <c r="E10" s="14">
        <v>200</v>
      </c>
      <c r="F10" s="14">
        <v>2</v>
      </c>
    </row>
    <row r="11" spans="1:6">
      <c r="A11" s="11">
        <v>9</v>
      </c>
      <c r="B11" s="11" t="s">
        <v>201</v>
      </c>
      <c r="C11" s="11" t="s">
        <v>192</v>
      </c>
      <c r="D11" s="14">
        <v>376676.4882977498</v>
      </c>
      <c r="E11" s="14">
        <v>254</v>
      </c>
      <c r="F11" s="14">
        <v>7</v>
      </c>
    </row>
    <row r="12" spans="1:6">
      <c r="A12" s="11">
        <v>10</v>
      </c>
      <c r="B12" s="11" t="s">
        <v>202</v>
      </c>
      <c r="C12" s="11" t="s">
        <v>192</v>
      </c>
      <c r="D12" s="14">
        <v>332199.6188717404</v>
      </c>
      <c r="E12" s="14">
        <v>188</v>
      </c>
      <c r="F12" s="14">
        <v>4</v>
      </c>
    </row>
    <row r="13" spans="1:6">
      <c r="A13" s="11">
        <v>11</v>
      </c>
      <c r="B13" s="11" t="s">
        <v>203</v>
      </c>
      <c r="C13" s="11" t="s">
        <v>192</v>
      </c>
      <c r="D13" s="14">
        <v>311602.9177968964</v>
      </c>
      <c r="E13" s="14">
        <v>154</v>
      </c>
      <c r="F13" s="14">
        <v>17</v>
      </c>
    </row>
    <row r="14" spans="1:6">
      <c r="A14" s="11">
        <v>12</v>
      </c>
      <c r="B14" s="11" t="s">
        <v>204</v>
      </c>
      <c r="C14" s="11" t="s">
        <v>199</v>
      </c>
      <c r="D14" s="14">
        <v>295238.1440488545</v>
      </c>
      <c r="E14" s="14">
        <v>370</v>
      </c>
      <c r="F14" s="14">
        <v>13</v>
      </c>
    </row>
    <row r="15" spans="1:6">
      <c r="A15" s="11">
        <v>13</v>
      </c>
      <c r="B15" s="11" t="s">
        <v>205</v>
      </c>
      <c r="C15" s="11" t="s">
        <v>192</v>
      </c>
      <c r="D15" s="14">
        <v>289213.3842571253</v>
      </c>
      <c r="E15" s="14">
        <v>92</v>
      </c>
      <c r="F15" s="14">
        <v>1</v>
      </c>
    </row>
    <row r="16" spans="1:6">
      <c r="A16" s="11">
        <v>14</v>
      </c>
      <c r="B16" s="11" t="s">
        <v>206</v>
      </c>
      <c r="C16" s="11" t="s">
        <v>192</v>
      </c>
      <c r="D16" s="14">
        <v>282795.6378875954</v>
      </c>
      <c r="E16" s="14">
        <v>118</v>
      </c>
      <c r="F16" s="14">
        <v>1</v>
      </c>
    </row>
    <row r="17" spans="1:6">
      <c r="A17" s="11">
        <v>15</v>
      </c>
      <c r="B17" s="11" t="s">
        <v>207</v>
      </c>
      <c r="C17" s="11" t="s">
        <v>208</v>
      </c>
      <c r="D17" s="14">
        <v>281133.1421384668</v>
      </c>
      <c r="E17" s="14">
        <v>467</v>
      </c>
      <c r="F17" s="14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4" width="14.7109375" customWidth="1"/>
  </cols>
  <sheetData>
    <row r="1" spans="1:4">
      <c r="A1" s="9" t="s">
        <v>209</v>
      </c>
    </row>
    <row r="2" spans="1:4">
      <c r="A2" s="10" t="s">
        <v>45</v>
      </c>
      <c r="B2" s="10" t="s">
        <v>210</v>
      </c>
      <c r="C2" s="10" t="s">
        <v>211</v>
      </c>
      <c r="D2" s="10" t="s">
        <v>212</v>
      </c>
    </row>
    <row r="3" spans="1:4">
      <c r="A3" s="11" t="s">
        <v>114</v>
      </c>
      <c r="B3" s="20">
        <v>4.3164</v>
      </c>
      <c r="C3" s="20">
        <v>4.2728</v>
      </c>
      <c r="D3" s="20">
        <v>4</v>
      </c>
    </row>
    <row r="4" spans="1:4">
      <c r="A4" s="11" t="s">
        <v>170</v>
      </c>
      <c r="B4" s="20">
        <v>1.7669</v>
      </c>
      <c r="C4" s="20">
        <v>1.7548</v>
      </c>
      <c r="D4" s="20">
        <v>1.65</v>
      </c>
    </row>
    <row r="5" spans="1:4">
      <c r="A5" s="11" t="s">
        <v>130</v>
      </c>
      <c r="B5" s="20">
        <v>1.6194</v>
      </c>
      <c r="C5" s="20">
        <v>1.6323</v>
      </c>
      <c r="D5" s="20">
        <v>1.48</v>
      </c>
    </row>
    <row r="6" spans="1:4">
      <c r="A6" s="11" t="s">
        <v>85</v>
      </c>
      <c r="B6" s="20">
        <v>0.9222</v>
      </c>
      <c r="C6" s="20">
        <v>0.9327</v>
      </c>
      <c r="D6" s="20">
        <v>0.95</v>
      </c>
    </row>
    <row r="7" spans="1:4">
      <c r="A7" s="11" t="s">
        <v>150</v>
      </c>
      <c r="B7" s="20">
        <v>8.1898</v>
      </c>
      <c r="C7" s="20">
        <v>8.233700000000001</v>
      </c>
      <c r="D7" s="20">
        <v>7.8</v>
      </c>
    </row>
    <row r="8" spans="1:4">
      <c r="A8" s="11" t="s">
        <v>110</v>
      </c>
      <c r="B8" s="20">
        <v>7.4637</v>
      </c>
      <c r="C8" s="20">
        <v>7.457</v>
      </c>
      <c r="D8" s="20">
        <v>7.46</v>
      </c>
    </row>
    <row r="9" spans="1:4">
      <c r="A9" s="11" t="s">
        <v>60</v>
      </c>
      <c r="B9" s="20">
        <v>1</v>
      </c>
      <c r="C9" s="20">
        <v>1</v>
      </c>
      <c r="D9" s="20">
        <v>1</v>
      </c>
    </row>
    <row r="10" spans="1:4">
      <c r="A10" s="11" t="s">
        <v>93</v>
      </c>
      <c r="B10" s="20">
        <v>0.8711</v>
      </c>
      <c r="C10" s="20">
        <v>0.8762</v>
      </c>
      <c r="D10" s="20">
        <v>0.85</v>
      </c>
    </row>
    <row r="11" spans="1:4">
      <c r="A11" s="11" t="s">
        <v>158</v>
      </c>
      <c r="B11" s="20">
        <v>9.1439</v>
      </c>
      <c r="C11" s="20">
        <v>9.0608</v>
      </c>
      <c r="D11" s="20">
        <v>8.449999999999999</v>
      </c>
    </row>
    <row r="12" spans="1:4">
      <c r="A12" s="11" t="s">
        <v>134</v>
      </c>
      <c r="B12" s="20">
        <v>171.77</v>
      </c>
      <c r="C12" s="20">
        <v>174.9</v>
      </c>
      <c r="D12" s="20">
        <v>162</v>
      </c>
    </row>
    <row r="13" spans="1:4">
      <c r="A13" s="11" t="s">
        <v>142</v>
      </c>
      <c r="B13" s="20">
        <v>1636.9</v>
      </c>
      <c r="C13" s="20">
        <v>1649.6</v>
      </c>
      <c r="D13" s="20">
        <v>1480</v>
      </c>
    </row>
    <row r="14" spans="1:4">
      <c r="A14" s="11" t="s">
        <v>166</v>
      </c>
      <c r="B14" s="20">
        <v>1.5085</v>
      </c>
      <c r="C14" s="20">
        <v>1.5167</v>
      </c>
      <c r="D14" s="20">
        <v>1.45</v>
      </c>
    </row>
    <row r="15" spans="1:4">
      <c r="A15" s="11" t="s">
        <v>162</v>
      </c>
      <c r="B15" s="20">
        <v>36.09</v>
      </c>
      <c r="C15" s="20">
        <v>35.71</v>
      </c>
      <c r="D15" s="20">
        <v>34.8</v>
      </c>
    </row>
    <row r="16" spans="1:4">
      <c r="A16" s="11" t="s">
        <v>118</v>
      </c>
      <c r="B16" s="20">
        <v>1.1755</v>
      </c>
      <c r="C16" s="20">
        <v>1.1634</v>
      </c>
      <c r="D16" s="20">
        <v>1.08</v>
      </c>
    </row>
    <row r="19" spans="1:1">
      <c r="A19" s="8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Summary</vt:lpstr>
      <vt:lpstr>Stores</vt:lpstr>
      <vt:lpstr>Country</vt:lpstr>
      <vt:lpstr>Daily</vt:lpstr>
      <vt:lpstr>Top styles</vt:lpstr>
      <vt:lpstr>FX</vt:lpstr>
    </vt:vector>
  </TitlesOfParts>
  <Company>Moncler S.p.A.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Sales Flash W40 2026</dc:title>
  <dc:creator>Retail Controlling - M. Galli</dc:creator>
  <dc:description>version 2.0</dc:description>
  <cp:lastModifiedBy>Retail Controlling - M. Galli</cp:lastModifiedBy>
  <dcterms:created xsi:type="dcterms:W3CDTF">2026-10-22T16:02:55Z</dcterms:created>
  <dcterms:modified xsi:type="dcterms:W3CDTF">2026-10-22T16:02:55Z</dcterms:modified>
</cp:coreProperties>
</file>