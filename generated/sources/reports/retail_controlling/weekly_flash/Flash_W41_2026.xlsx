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ummary" sheetId="2" r:id="rId2"/>
    <sheet name="Stores" sheetId="3" r:id="rId3"/>
    <sheet name="Country" sheetId="4" r:id="rId4"/>
    <sheet name="Daily" sheetId="5" r:id="rId5"/>
    <sheet name="Top styles" sheetId="6" r:id="rId6"/>
    <sheet name="FX" sheetId="7" r:id="rId7"/>
  </sheets>
  <calcPr calcId="124519" fullCalcOnLoad="1"/>
</workbook>
</file>

<file path=xl/sharedStrings.xml><?xml version="1.0" encoding="utf-8"?>
<sst xmlns="http://schemas.openxmlformats.org/spreadsheetml/2006/main" count="507" uniqueCount="210">
  <si>
    <t>VALENTINO  |  Retail Controlling</t>
  </si>
  <si>
    <t>WEEKLY SALES FLASH - WEEK 41 / 2026</t>
  </si>
  <si>
    <t>Fiscal week 41: Mon 05/10/2026 - Sun 11/10/2026   |   LY comparable: wk 41 2025 (06/10 - 12/10/2025)</t>
  </si>
  <si>
    <t>Version 1.0 - issued 13/10/2026 - distribution: ExCom, Regional MDs, Country Managers, Merchandising</t>
  </si>
  <si>
    <t>Definitions</t>
  </si>
  <si>
    <t>Net sales = gross sales - discounts - returns (returns booked on the processing date), excluding VAT/sales taxes.</t>
  </si>
  <si>
    <t>Reported EUR at average October 2026 rates (month of the week's Thursday); LY at average October 2025 rates. See sheet FX.</t>
  </si>
  <si>
    <t>LFL = stores trading at least 5 days in both CY week and LY week; growth at constant FX (LY restated at CY rates).</t>
  </si>
  <si>
    <t>Budget comparison at budget FX rates (BI standard). Retail DOS only - e-commerce and wholesale excluded.</t>
  </si>
  <si>
    <t>Traffic from door counters (Xovis); shop-in-shops use department-store feed when available. Conversion = receipts / visitors.</t>
  </si>
  <si>
    <t>Comments of the week</t>
  </si>
  <si>
    <t>- NYC02: POS outage Tue 06/10 14:10-17:40; part of 06/10 receipts posted with business date 07/10. Not restated.</t>
  </si>
  <si>
    <t>- MAD01: door counter down 01/10-07/10 (traffic = 0, conversion not meaningful).</t>
  </si>
  <si>
    <t>- LON01: private client evening Thu 08/10.</t>
  </si>
  <si>
    <t>- IRIDIA powder pink sold out in Asia within days (celebrity effect), DC top-up landed 08/10.</t>
  </si>
  <si>
    <t>- SIN01: F1 GP weekend 09-11/10.</t>
  </si>
  <si>
    <t>Confidential - Internal use only. Source: SAP BW / POS (Xstore), store door counters. Retail Controlling.</t>
  </si>
  <si>
    <t>Weekly flash W41 2026 - Summary by region (EUR k)</t>
  </si>
  <si>
    <t>05/10 - 11/10/2026  |  v1.0</t>
  </si>
  <si>
    <t>Region</t>
  </si>
  <si>
    <t>Net Sales
Wk (EUR k)</t>
  </si>
  <si>
    <t>LY Wk
(EUR k)</t>
  </si>
  <si>
    <t>Δ% rep.</t>
  </si>
  <si>
    <t>Δ% LFL
(const. FX)</t>
  </si>
  <si>
    <t>Budget Wk
(EUR k, bud FX)</t>
  </si>
  <si>
    <t>vs Bud %</t>
  </si>
  <si>
    <t>Units</t>
  </si>
  <si>
    <t>Returns
units</t>
  </si>
  <si>
    <t>Traffic</t>
  </si>
  <si>
    <t>Conv. %</t>
  </si>
  <si>
    <t>MTD (EUR k)</t>
  </si>
  <si>
    <t>MTD Δ%
LY cFX</t>
  </si>
  <si>
    <t>EMEA</t>
  </si>
  <si>
    <t>AMERICAS</t>
  </si>
  <si>
    <t>APAC</t>
  </si>
  <si>
    <t>TOTAL RETAIL</t>
  </si>
  <si>
    <t>MTD = 01/10 to 11/10, EUR at the same rates as the week, LY = same days -364.</t>
  </si>
  <si>
    <t>Store detail W41 2026</t>
  </si>
  <si>
    <t>Plant</t>
  </si>
  <si>
    <t>Store</t>
  </si>
  <si>
    <t>Country</t>
  </si>
  <si>
    <t>Ccy</t>
  </si>
  <si>
    <t>Net Sales LC</t>
  </si>
  <si>
    <t>Net Sales EUR</t>
  </si>
  <si>
    <t>LY EUR</t>
  </si>
  <si>
    <t>LFL</t>
  </si>
  <si>
    <t>Δ% LFL cFX</t>
  </si>
  <si>
    <t>Budget EUR (bud FX)</t>
  </si>
  <si>
    <t>Ret. units</t>
  </si>
  <si>
    <t>Ret. %</t>
  </si>
  <si>
    <t>UPT</t>
  </si>
  <si>
    <t>ATV EUR</t>
  </si>
  <si>
    <t>Days open</t>
  </si>
  <si>
    <t>1001</t>
  </si>
  <si>
    <t>Milano Montenapoleone</t>
  </si>
  <si>
    <t>Italy</t>
  </si>
  <si>
    <t>EUR</t>
  </si>
  <si>
    <t>Y</t>
  </si>
  <si>
    <t>1002</t>
  </si>
  <si>
    <t>Milano Rinascente Duomo</t>
  </si>
  <si>
    <t>1004</t>
  </si>
  <si>
    <t>Roma Via Condotti</t>
  </si>
  <si>
    <t>1006</t>
  </si>
  <si>
    <t>Venezia San Marco</t>
  </si>
  <si>
    <t>1011</t>
  </si>
  <si>
    <t>Courmayeur</t>
  </si>
  <si>
    <t>n.a.</t>
  </si>
  <si>
    <t>N</t>
  </si>
  <si>
    <t>n.m.</t>
  </si>
  <si>
    <t>1012</t>
  </si>
  <si>
    <t>Cortina d'Ampezzo</t>
  </si>
  <si>
    <t>1101</t>
  </si>
  <si>
    <t>Paris Saint-Honoré</t>
  </si>
  <si>
    <t>France</t>
  </si>
  <si>
    <t>1102</t>
  </si>
  <si>
    <t>Paris Galeries Lafayette Haussmann</t>
  </si>
  <si>
    <t>1105</t>
  </si>
  <si>
    <t>Cannes La Croisette</t>
  </si>
  <si>
    <t>1201</t>
  </si>
  <si>
    <t>Genève Rue du Rhône</t>
  </si>
  <si>
    <t>Switzerland</t>
  </si>
  <si>
    <t>CHF</t>
  </si>
  <si>
    <t>1202</t>
  </si>
  <si>
    <t>Zürich Bahnhofstrasse</t>
  </si>
  <si>
    <t>1205</t>
  </si>
  <si>
    <t>St. Moritz Via Serlas</t>
  </si>
  <si>
    <t>1301</t>
  </si>
  <si>
    <t>London New Bond Street</t>
  </si>
  <si>
    <t>United Kingdom</t>
  </si>
  <si>
    <t>GBP</t>
  </si>
  <si>
    <t>1302</t>
  </si>
  <si>
    <t>London Harrods</t>
  </si>
  <si>
    <t>1401</t>
  </si>
  <si>
    <t>München Maximilianstraße</t>
  </si>
  <si>
    <t>Germany</t>
  </si>
  <si>
    <t>1402</t>
  </si>
  <si>
    <t>Berlin KaDeWe</t>
  </si>
  <si>
    <t>1501</t>
  </si>
  <si>
    <t>Madrid Calle Serrano</t>
  </si>
  <si>
    <t>Spain</t>
  </si>
  <si>
    <t>1601</t>
  </si>
  <si>
    <t>Amsterdam P.C. Hooftstraat</t>
  </si>
  <si>
    <t>Netherlands</t>
  </si>
  <si>
    <t>1701</t>
  </si>
  <si>
    <t>København Østergade</t>
  </si>
  <si>
    <t>Denmark</t>
  </si>
  <si>
    <t>DKK</t>
  </si>
  <si>
    <t>1801</t>
  </si>
  <si>
    <t>Dubai Mall Fashion Avenue</t>
  </si>
  <si>
    <t>United Arab Emirates</t>
  </si>
  <si>
    <t>AED</t>
  </si>
  <si>
    <t>2001</t>
  </si>
  <si>
    <t>New York Madison Avenue</t>
  </si>
  <si>
    <t>United States</t>
  </si>
  <si>
    <t>USD</t>
  </si>
  <si>
    <t>2002</t>
  </si>
  <si>
    <t>New York SoHo</t>
  </si>
  <si>
    <t>2003</t>
  </si>
  <si>
    <t>Miami Design District</t>
  </si>
  <si>
    <t>2005</t>
  </si>
  <si>
    <t>Beverly Hills Rodeo Drive</t>
  </si>
  <si>
    <t>2007</t>
  </si>
  <si>
    <t>Aspen</t>
  </si>
  <si>
    <t>2101</t>
  </si>
  <si>
    <t>Toronto Yorkville</t>
  </si>
  <si>
    <t>Canada</t>
  </si>
  <si>
    <t>CAD</t>
  </si>
  <si>
    <t>3001</t>
  </si>
  <si>
    <t>Tokyo Ginza</t>
  </si>
  <si>
    <t>Japan</t>
  </si>
  <si>
    <t>JPY</t>
  </si>
  <si>
    <t>3002</t>
  </si>
  <si>
    <t>Tokyo Omotesando</t>
  </si>
  <si>
    <t>3003</t>
  </si>
  <si>
    <t>Osaka Shinsaibashi</t>
  </si>
  <si>
    <t>3101</t>
  </si>
  <si>
    <t>Seoul Cheongdam Flagship</t>
  </si>
  <si>
    <t>South Korea</t>
  </si>
  <si>
    <t>KRW</t>
  </si>
  <si>
    <t>3102</t>
  </si>
  <si>
    <t>Seoul Hyundai Apgujeong</t>
  </si>
  <si>
    <t>3103</t>
  </si>
  <si>
    <t>Busan Shinsegae Centum City</t>
  </si>
  <si>
    <t>3201</t>
  </si>
  <si>
    <t>Shanghai Plaza 66</t>
  </si>
  <si>
    <t>China</t>
  </si>
  <si>
    <t>CNY</t>
  </si>
  <si>
    <t>3202</t>
  </si>
  <si>
    <t>Beijing SKP</t>
  </si>
  <si>
    <t>3203</t>
  </si>
  <si>
    <t>Chengdu Taikoo Li</t>
  </si>
  <si>
    <t>3301</t>
  </si>
  <si>
    <t>Hong Kong Canton Road</t>
  </si>
  <si>
    <t>Hong Kong SAR</t>
  </si>
  <si>
    <t>HKD</t>
  </si>
  <si>
    <t>3401</t>
  </si>
  <si>
    <t>Taipei 101</t>
  </si>
  <si>
    <t>Taiwan</t>
  </si>
  <si>
    <t>TWD</t>
  </si>
  <si>
    <t>3501</t>
  </si>
  <si>
    <t>Singapore Marina Bay Sands</t>
  </si>
  <si>
    <t>Singapore</t>
  </si>
  <si>
    <t>SGD</t>
  </si>
  <si>
    <t>3601</t>
  </si>
  <si>
    <t>Sydney Castlereagh Street</t>
  </si>
  <si>
    <t>Australia</t>
  </si>
  <si>
    <t>AUD</t>
  </si>
  <si>
    <t>TOTAL</t>
  </si>
  <si>
    <t>Country view W41 2026</t>
  </si>
  <si>
    <t>Net Sales EUR k</t>
  </si>
  <si>
    <t>LY EUR k</t>
  </si>
  <si>
    <t>Daily net sales EUR (current FX) - W41</t>
  </si>
  <si>
    <t>Mon 05/10</t>
  </si>
  <si>
    <t>Tue 06/10</t>
  </si>
  <si>
    <t>Wed 07/10</t>
  </si>
  <si>
    <t>Thu 08/10</t>
  </si>
  <si>
    <t>Fri 09/10</t>
  </si>
  <si>
    <t>Sat 10/10</t>
  </si>
  <si>
    <t>Sun 11/10</t>
  </si>
  <si>
    <t>closed</t>
  </si>
  <si>
    <t>Top 15 styles W41 - net sales EUR (all stores)</t>
  </si>
  <si>
    <t>#</t>
  </si>
  <si>
    <t>Style</t>
  </si>
  <si>
    <t>Category</t>
  </si>
  <si>
    <t>Net sales EUR</t>
  </si>
  <si>
    <t>Units sold</t>
  </si>
  <si>
    <t>Units returned</t>
  </si>
  <si>
    <t>NOVA</t>
  </si>
  <si>
    <t>Outerwear</t>
  </si>
  <si>
    <t>AUREA</t>
  </si>
  <si>
    <t>LIVIANA</t>
  </si>
  <si>
    <t>ARIA</t>
  </si>
  <si>
    <t>MISTRAL</t>
  </si>
  <si>
    <t>IRIDIA</t>
  </si>
  <si>
    <t>VLOGO PADDED CARDIGAN</t>
  </si>
  <si>
    <t>Knitwear</t>
  </si>
  <si>
    <t>COSIMO</t>
  </si>
  <si>
    <t>FIAMMETTA</t>
  </si>
  <si>
    <t>MONTELUCE</t>
  </si>
  <si>
    <t>VLOGO CARDIGAN</t>
  </si>
  <si>
    <t>RIVIERA</t>
  </si>
  <si>
    <t>VLOGO HOODIE</t>
  </si>
  <si>
    <t>Jersey</t>
  </si>
  <si>
    <t>AMALIA</t>
  </si>
  <si>
    <t>ASTRA CAPE</t>
  </si>
  <si>
    <t>Exchange rates used (local currency per 1 EUR)</t>
  </si>
  <si>
    <t>CY avg Oct-26</t>
  </si>
  <si>
    <t>LY avg Oct-25</t>
  </si>
  <si>
    <t>Budget 2026</t>
  </si>
  <si>
    <t>Source: Treasury, ECB reference rates monthly average. October = month-to-date average at issue date.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</si>
</sst>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+0.0%;[Red]-0.0%;0.0%"/>
    <numFmt numFmtId="166" formatCode="#,##0"/>
    <numFmt numFmtId="167" formatCode="0.0%"/>
    <numFmt numFmtId="168" formatCode="#,##0.000"/>
  </numFmts>
  <fonts count="11">
    <font>
      <sz val="11"/>
      <color theme="1"/>
      <name val="Calibri"/>
      <family val="2"/>
      <scheme val="minor"/>
    </font>
    <font>
      <b/>
      <sz val="10"/>
      <color rgb="FF888888"/>
      <name val="Arial"/>
      <family val="2"/>
    </font>
    <font>
      <b/>
      <sz val="20"/>
      <color rgb="FF1F2A44"/>
      <name val="Arial"/>
      <family val="2"/>
    </font>
    <font>
      <i/>
      <sz val="9"/>
      <color rgb="FF555555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8"/>
      <color rgb="FF888888"/>
      <name val="Arial"/>
      <family val="2"/>
    </font>
    <font>
      <b/>
      <sz val="14"/>
      <color rgb="FF1F2A44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E7EB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7" fontId="9" fillId="0" borderId="1" xfId="0" applyNumberFormat="1" applyFont="1" applyBorder="1"/>
    <xf numFmtId="0" fontId="10" fillId="3" borderId="1" xfId="0" applyFont="1" applyFill="1" applyBorder="1"/>
    <xf numFmtId="164" fontId="10" fillId="3" borderId="1" xfId="0" applyNumberFormat="1" applyFont="1" applyFill="1" applyBorder="1"/>
    <xf numFmtId="165" fontId="10" fillId="3" borderId="1" xfId="0" applyNumberFormat="1" applyFont="1" applyFill="1" applyBorder="1"/>
    <xf numFmtId="166" fontId="10" fillId="3" borderId="1" xfId="0" applyNumberFormat="1" applyFont="1" applyFill="1" applyBorder="1"/>
    <xf numFmtId="168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Net sales by region, EUR 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CY</c:v>
          </c:tx>
          <c:spPr>
            <a:solidFill>
              <a:srgbClr val="1F2A44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4422.722063300655</c:v>
                </c:pt>
                <c:pt idx="1">
                  <c:v>1028.933742050506</c:v>
                </c:pt>
                <c:pt idx="2">
                  <c:v>4667.674102485745</c:v>
                </c:pt>
              </c:numCache>
            </c:numRef>
          </c:val>
        </c:ser>
        <c:ser>
          <c:idx val="1"/>
          <c:order val="1"/>
          <c:tx>
            <c:v>LY</c:v>
          </c:tx>
          <c:spPr>
            <a:solidFill>
              <a:srgbClr val="A9B4C8"/>
            </a:solidFill>
          </c:spPr>
          <c:cat>
            <c:strRef>
              <c:f>Summary!$A$5:$A$7</c:f>
              <c:strCache>
                <c:ptCount val="3"/>
                <c:pt idx="0">
                  <c:v>EMEA</c:v>
                </c:pt>
                <c:pt idx="1">
                  <c:v>AMERICAS</c:v>
                </c:pt>
                <c:pt idx="2">
                  <c:v>APAC</c:v>
                </c:pt>
              </c:strCache>
            </c:strRef>
          </c:cat>
          <c:val>
            <c:numRef>
              <c:f>Summary!$C$5:$C$7</c:f>
              <c:numCache>
                <c:formatCode>General</c:formatCode>
                <c:ptCount val="3"/>
                <c:pt idx="0">
                  <c:v>3844.538559830951</c:v>
                </c:pt>
                <c:pt idx="1">
                  <c:v>961.9071584067599</c:v>
                </c:pt>
                <c:pt idx="2">
                  <c:v>3663.570120965731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581025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24"/>
  <sheetViews>
    <sheetView showGridLines="0" tabSelected="1" workbookViewId="0"/>
  </sheetViews>
  <sheetFormatPr defaultRowHeight="15"/>
  <cols>
    <col min="1" max="1" width="3.7109375" customWidth="1"/>
    <col min="2" max="2" width="110.7109375" customWidth="1"/>
  </cols>
  <sheetData>
    <row r="2" spans="2:2">
      <c r="B2" s="1" t="s">
        <v>0</v>
      </c>
    </row>
    <row r="4" spans="2:2">
      <c r="B4" s="2" t="s">
        <v>1</v>
      </c>
    </row>
    <row r="5" spans="2:2">
      <c r="B5" s="3" t="s">
        <v>2</v>
      </c>
    </row>
    <row r="6" spans="2:2">
      <c r="B6" s="3" t="s">
        <v>3</v>
      </c>
    </row>
    <row r="8" spans="2:2">
      <c r="B8" s="4" t="s">
        <v>4</v>
      </c>
    </row>
    <row r="9" spans="2:2">
      <c r="B9" s="5" t="s">
        <v>5</v>
      </c>
    </row>
    <row r="10" spans="2:2">
      <c r="B10" s="5" t="s">
        <v>6</v>
      </c>
    </row>
    <row r="11" spans="2:2">
      <c r="B11" s="5" t="s">
        <v>7</v>
      </c>
    </row>
    <row r="12" spans="2:2">
      <c r="B12" s="5" t="s">
        <v>8</v>
      </c>
    </row>
    <row r="13" spans="2:2">
      <c r="B13" s="5" t="s">
        <v>9</v>
      </c>
    </row>
    <row r="16" spans="2:2">
      <c r="B16" s="4" t="s">
        <v>10</v>
      </c>
    </row>
    <row r="17" spans="2:2">
      <c r="B17" t="s">
        <v>11</v>
      </c>
    </row>
    <row r="18" spans="2:2">
      <c r="B18" t="s">
        <v>12</v>
      </c>
    </row>
    <row r="19" spans="2:2">
      <c r="B19" t="s">
        <v>13</v>
      </c>
    </row>
    <row r="20" spans="2:2">
      <c r="B20" t="s">
        <v>14</v>
      </c>
    </row>
    <row r="21" spans="2:2">
      <c r="B21" t="s">
        <v>15</v>
      </c>
    </row>
    <row r="24" spans="2:2">
      <c r="B24" s="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showGridLines="0" workbookViewId="0"/>
  </sheetViews>
  <sheetFormatPr defaultRowHeight="15"/>
  <cols>
    <col min="1" max="1" width="18.7109375" customWidth="1"/>
    <col min="2" max="13" width="11.7109375" customWidth="1"/>
  </cols>
  <sheetData>
    <row r="1" spans="1:13">
      <c r="A1" s="7" t="s">
        <v>17</v>
      </c>
    </row>
    <row r="2" spans="1:13">
      <c r="A2" s="3" t="s">
        <v>18</v>
      </c>
    </row>
    <row r="4" spans="1:13" ht="30" customHeight="1">
      <c r="A4" s="8" t="s">
        <v>19</v>
      </c>
      <c r="B4" s="8" t="s">
        <v>20</v>
      </c>
      <c r="C4" s="8" t="s">
        <v>21</v>
      </c>
      <c r="D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8" t="s">
        <v>27</v>
      </c>
      <c r="J4" s="8" t="s">
        <v>28</v>
      </c>
      <c r="K4" s="8" t="s">
        <v>29</v>
      </c>
      <c r="L4" s="8" t="s">
        <v>30</v>
      </c>
      <c r="M4" s="8" t="s">
        <v>31</v>
      </c>
    </row>
    <row r="5" spans="1:13">
      <c r="A5" s="9" t="s">
        <v>32</v>
      </c>
      <c r="B5" s="10">
        <v>4422.722063300655</v>
      </c>
      <c r="C5" s="10">
        <v>3844.538559830951</v>
      </c>
      <c r="D5" s="11">
        <v>0.1503908712246411</v>
      </c>
      <c r="E5" s="11">
        <v>0.1426341301413885</v>
      </c>
      <c r="F5" s="10">
        <v>4413.763588031939</v>
      </c>
      <c r="G5" s="11">
        <v>0.008013209421538381</v>
      </c>
      <c r="H5" s="12">
        <v>4263</v>
      </c>
      <c r="I5" s="12">
        <v>184</v>
      </c>
      <c r="J5" s="12">
        <v>27004</v>
      </c>
      <c r="K5" s="13">
        <v>0.09317138201747889</v>
      </c>
      <c r="L5" s="10">
        <v>7208.252088342024</v>
      </c>
      <c r="M5" s="11">
        <v>0.1299110829027637</v>
      </c>
    </row>
    <row r="6" spans="1:13">
      <c r="A6" s="9" t="s">
        <v>33</v>
      </c>
      <c r="B6" s="10">
        <v>1028.933742050506</v>
      </c>
      <c r="C6" s="10">
        <v>961.9071584067599</v>
      </c>
      <c r="D6" s="11">
        <v>0.06968092820388727</v>
      </c>
      <c r="E6" s="11">
        <v>0.07753283514498333</v>
      </c>
      <c r="F6" s="10">
        <v>1251.559309309309</v>
      </c>
      <c r="G6" s="11">
        <v>-0.1044307755430614</v>
      </c>
      <c r="H6" s="12">
        <v>1011</v>
      </c>
      <c r="I6" s="12">
        <v>65</v>
      </c>
      <c r="J6" s="12">
        <v>6639</v>
      </c>
      <c r="K6" s="13">
        <v>0.09459255912034945</v>
      </c>
      <c r="L6" s="10">
        <v>1627.914285117344</v>
      </c>
      <c r="M6" s="11">
        <v>0.05389420909570086</v>
      </c>
    </row>
    <row r="7" spans="1:13">
      <c r="A7" s="9" t="s">
        <v>34</v>
      </c>
      <c r="B7" s="10">
        <v>4667.674102485745</v>
      </c>
      <c r="C7" s="10">
        <v>3663.570120965731</v>
      </c>
      <c r="D7" s="11">
        <v>0.2740780027039111</v>
      </c>
      <c r="E7" s="11">
        <v>0.2668979133720353</v>
      </c>
      <c r="F7" s="10">
        <v>5331.964615107158</v>
      </c>
      <c r="G7" s="11">
        <v>-0.06183585955784365</v>
      </c>
      <c r="H7" s="12">
        <v>3981</v>
      </c>
      <c r="I7" s="12">
        <v>92</v>
      </c>
      <c r="J7" s="12">
        <v>29778</v>
      </c>
      <c r="K7" s="13">
        <v>0.07743972059910001</v>
      </c>
      <c r="L7" s="10">
        <v>8098.83521053814</v>
      </c>
      <c r="M7" s="11">
        <v>0.2752196462560512</v>
      </c>
    </row>
    <row r="8" spans="1:13">
      <c r="A8" s="14" t="s">
        <v>35</v>
      </c>
      <c r="B8" s="15">
        <v>10119.32990783691</v>
      </c>
      <c r="C8" s="15">
        <v>8470.015839203441</v>
      </c>
      <c r="D8" s="16">
        <v>0.1947238470322121</v>
      </c>
      <c r="E8" s="16">
        <v>0.1892460266480678</v>
      </c>
      <c r="F8" s="15">
        <v>10997.28751244841</v>
      </c>
      <c r="G8" s="16">
        <v>-0.03864948624533848</v>
      </c>
      <c r="H8" s="17">
        <v>9255</v>
      </c>
      <c r="I8" s="17">
        <v>341</v>
      </c>
      <c r="J8" s="17">
        <v>63421</v>
      </c>
      <c r="K8" s="13">
        <v>0.08593368127276454</v>
      </c>
      <c r="L8" s="15">
        <v>16935.00158399751</v>
      </c>
      <c r="M8" s="16">
        <v>0.1863327674586568</v>
      </c>
    </row>
    <row r="10" spans="1:13">
      <c r="A10" s="6" t="s">
        <v>36</v>
      </c>
    </row>
    <row r="11" spans="1:13">
      <c r="A11" s="6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4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9.7109375" customWidth="1"/>
    <col min="4" max="4" width="16.7109375" customWidth="1"/>
    <col min="5" max="5" width="5.7109375" customWidth="1"/>
    <col min="6" max="8" width="12.7109375" customWidth="1"/>
    <col min="9" max="9" width="8.7109375" customWidth="1"/>
    <col min="10" max="10" width="5.7109375" customWidth="1"/>
    <col min="11" max="11" width="9.7109375" customWidth="1"/>
    <col min="12" max="12" width="12.7109375" customWidth="1"/>
    <col min="13" max="13" width="8.7109375" customWidth="1"/>
    <col min="14" max="16" width="7.7109375" customWidth="1"/>
    <col min="17" max="17" width="8.7109375" customWidth="1"/>
    <col min="18" max="18" width="7.7109375" customWidth="1"/>
    <col min="19" max="19" width="6.7109375" customWidth="1"/>
    <col min="20" max="20" width="8.7109375" customWidth="1"/>
    <col min="21" max="21" width="6.7109375" customWidth="1"/>
  </cols>
  <sheetData>
    <row r="1" spans="1:21">
      <c r="A1" s="7" t="s">
        <v>37</v>
      </c>
    </row>
    <row r="2" spans="1:21" ht="27.75" customHeight="1">
      <c r="A2" s="8" t="s">
        <v>38</v>
      </c>
      <c r="B2" s="8" t="s">
        <v>39</v>
      </c>
      <c r="C2" s="8" t="s">
        <v>19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22</v>
      </c>
      <c r="J2" s="8" t="s">
        <v>45</v>
      </c>
      <c r="K2" s="8" t="s">
        <v>46</v>
      </c>
      <c r="L2" s="8" t="s">
        <v>47</v>
      </c>
      <c r="M2" s="8" t="s">
        <v>25</v>
      </c>
      <c r="N2" s="8" t="s">
        <v>26</v>
      </c>
      <c r="O2" s="8" t="s">
        <v>48</v>
      </c>
      <c r="P2" s="8" t="s">
        <v>49</v>
      </c>
      <c r="Q2" s="8" t="s">
        <v>28</v>
      </c>
      <c r="R2" s="8" t="s">
        <v>29</v>
      </c>
      <c r="S2" s="8" t="s">
        <v>50</v>
      </c>
      <c r="T2" s="8" t="s">
        <v>51</v>
      </c>
      <c r="U2" s="8" t="s">
        <v>52</v>
      </c>
    </row>
    <row r="3" spans="1:21">
      <c r="A3" s="9" t="s">
        <v>53</v>
      </c>
      <c r="B3" s="9" t="s">
        <v>54</v>
      </c>
      <c r="C3" s="9" t="s">
        <v>32</v>
      </c>
      <c r="D3" s="9" t="s">
        <v>55</v>
      </c>
      <c r="E3" s="9" t="s">
        <v>56</v>
      </c>
      <c r="F3" s="12">
        <v>675409</v>
      </c>
      <c r="G3" s="12">
        <v>675409</v>
      </c>
      <c r="H3" s="12">
        <v>464500</v>
      </c>
      <c r="I3" s="11">
        <v>0.4540559741657697</v>
      </c>
      <c r="J3" s="9" t="s">
        <v>57</v>
      </c>
      <c r="K3" s="11">
        <v>0.4540559741657697</v>
      </c>
      <c r="L3" s="12">
        <v>576430</v>
      </c>
      <c r="M3" s="11">
        <v>0.17171035511684</v>
      </c>
      <c r="N3" s="12">
        <v>615</v>
      </c>
      <c r="O3" s="12">
        <v>19</v>
      </c>
      <c r="P3" s="13">
        <v>0.03089430894308943</v>
      </c>
      <c r="Q3" s="12">
        <v>4729</v>
      </c>
      <c r="R3" s="13">
        <v>0.07083950095157539</v>
      </c>
      <c r="S3" s="10">
        <v>1.835820895522388</v>
      </c>
      <c r="T3" s="12">
        <v>2016.146268656717</v>
      </c>
      <c r="U3" s="12">
        <v>7</v>
      </c>
    </row>
    <row r="4" spans="1:21">
      <c r="A4" s="9" t="s">
        <v>58</v>
      </c>
      <c r="B4" s="9" t="s">
        <v>59</v>
      </c>
      <c r="C4" s="9" t="s">
        <v>32</v>
      </c>
      <c r="D4" s="9" t="s">
        <v>55</v>
      </c>
      <c r="E4" s="9" t="s">
        <v>56</v>
      </c>
      <c r="F4" s="12">
        <v>220799</v>
      </c>
      <c r="G4" s="12">
        <v>220799</v>
      </c>
      <c r="H4" s="12">
        <v>255830</v>
      </c>
      <c r="I4" s="11">
        <v>-0.1369307743423367</v>
      </c>
      <c r="J4" s="9" t="s">
        <v>57</v>
      </c>
      <c r="K4" s="11">
        <v>-0.1369307743423367</v>
      </c>
      <c r="L4" s="12">
        <v>205850</v>
      </c>
      <c r="M4" s="11">
        <v>0.07262084041777994</v>
      </c>
      <c r="N4" s="12">
        <v>202</v>
      </c>
      <c r="O4" s="12">
        <v>10</v>
      </c>
      <c r="P4" s="13">
        <v>0.04950495049504951</v>
      </c>
      <c r="Q4" s="12">
        <v>969</v>
      </c>
      <c r="R4" s="13">
        <v>0.1351909184726522</v>
      </c>
      <c r="S4" s="10">
        <v>1.541984732824427</v>
      </c>
      <c r="T4" s="12">
        <v>1685.488549618321</v>
      </c>
      <c r="U4" s="12">
        <v>7</v>
      </c>
    </row>
    <row r="5" spans="1:21">
      <c r="A5" s="9" t="s">
        <v>60</v>
      </c>
      <c r="B5" s="9" t="s">
        <v>61</v>
      </c>
      <c r="C5" s="9" t="s">
        <v>32</v>
      </c>
      <c r="D5" s="9" t="s">
        <v>55</v>
      </c>
      <c r="E5" s="9" t="s">
        <v>56</v>
      </c>
      <c r="F5" s="12">
        <v>206516</v>
      </c>
      <c r="G5" s="12">
        <v>206516</v>
      </c>
      <c r="H5" s="12">
        <v>277070</v>
      </c>
      <c r="I5" s="11">
        <v>-0.2546432309524669</v>
      </c>
      <c r="J5" s="9" t="s">
        <v>57</v>
      </c>
      <c r="K5" s="11">
        <v>-0.2546432309524669</v>
      </c>
      <c r="L5" s="12">
        <v>322640</v>
      </c>
      <c r="M5" s="11">
        <v>-0.3599181750557897</v>
      </c>
      <c r="N5" s="12">
        <v>188</v>
      </c>
      <c r="O5" s="12">
        <v>9</v>
      </c>
      <c r="P5" s="13">
        <v>0.04787234042553191</v>
      </c>
      <c r="Q5" s="12">
        <v>821</v>
      </c>
      <c r="R5" s="13">
        <v>0.1534713763702801</v>
      </c>
      <c r="S5" s="10">
        <v>1.492063492063492</v>
      </c>
      <c r="T5" s="12">
        <v>1639.015873015873</v>
      </c>
      <c r="U5" s="12">
        <v>7</v>
      </c>
    </row>
    <row r="6" spans="1:21">
      <c r="A6" s="9" t="s">
        <v>62</v>
      </c>
      <c r="B6" s="9" t="s">
        <v>63</v>
      </c>
      <c r="C6" s="9" t="s">
        <v>32</v>
      </c>
      <c r="D6" s="9" t="s">
        <v>55</v>
      </c>
      <c r="E6" s="9" t="s">
        <v>56</v>
      </c>
      <c r="F6" s="12">
        <v>213316</v>
      </c>
      <c r="G6" s="12">
        <v>213316</v>
      </c>
      <c r="H6" s="12">
        <v>131280</v>
      </c>
      <c r="I6" s="11">
        <v>0.6248933577087141</v>
      </c>
      <c r="J6" s="9" t="s">
        <v>57</v>
      </c>
      <c r="K6" s="11">
        <v>0.6248933577087141</v>
      </c>
      <c r="L6" s="12">
        <v>224040</v>
      </c>
      <c r="M6" s="11">
        <v>-0.04786645241921084</v>
      </c>
      <c r="N6" s="12">
        <v>204</v>
      </c>
      <c r="O6" s="12">
        <v>9</v>
      </c>
      <c r="P6" s="13">
        <v>0.04411764705882353</v>
      </c>
      <c r="Q6" s="12">
        <v>1171</v>
      </c>
      <c r="R6" s="13">
        <v>0.1101622544833476</v>
      </c>
      <c r="S6" s="10">
        <v>1.581395348837209</v>
      </c>
      <c r="T6" s="12">
        <v>1653.612403100775</v>
      </c>
      <c r="U6" s="12">
        <v>7</v>
      </c>
    </row>
    <row r="7" spans="1:21">
      <c r="A7" s="9" t="s">
        <v>64</v>
      </c>
      <c r="B7" s="9" t="s">
        <v>65</v>
      </c>
      <c r="C7" s="9" t="s">
        <v>32</v>
      </c>
      <c r="D7" s="9" t="s">
        <v>55</v>
      </c>
      <c r="E7" s="9" t="s">
        <v>56</v>
      </c>
      <c r="F7" s="12">
        <v>0</v>
      </c>
      <c r="G7" s="12">
        <v>0</v>
      </c>
      <c r="H7" s="12">
        <v>0</v>
      </c>
      <c r="I7" s="9" t="s">
        <v>66</v>
      </c>
      <c r="J7" s="9" t="s">
        <v>67</v>
      </c>
      <c r="K7" s="9"/>
      <c r="L7" s="12">
        <v>0</v>
      </c>
      <c r="M7" s="11"/>
      <c r="N7" s="12">
        <v>0</v>
      </c>
      <c r="O7" s="12">
        <v>0</v>
      </c>
      <c r="P7" s="13"/>
      <c r="Q7" s="12">
        <v>0</v>
      </c>
      <c r="R7" s="9" t="s">
        <v>68</v>
      </c>
      <c r="S7" s="10"/>
      <c r="T7" s="12"/>
      <c r="U7" s="12">
        <v>0</v>
      </c>
    </row>
    <row r="8" spans="1:21">
      <c r="A8" s="9" t="s">
        <v>69</v>
      </c>
      <c r="B8" s="9" t="s">
        <v>70</v>
      </c>
      <c r="C8" s="9" t="s">
        <v>32</v>
      </c>
      <c r="D8" s="9" t="s">
        <v>55</v>
      </c>
      <c r="E8" s="9" t="s">
        <v>56</v>
      </c>
      <c r="F8" s="12">
        <v>24440</v>
      </c>
      <c r="G8" s="12">
        <v>24440</v>
      </c>
      <c r="H8" s="12">
        <v>0</v>
      </c>
      <c r="I8" s="9" t="s">
        <v>66</v>
      </c>
      <c r="J8" s="9" t="s">
        <v>67</v>
      </c>
      <c r="K8" s="9"/>
      <c r="L8" s="12">
        <v>36250</v>
      </c>
      <c r="M8" s="11">
        <v>-0.3257931034482758</v>
      </c>
      <c r="N8" s="12">
        <v>24</v>
      </c>
      <c r="O8" s="12">
        <v>2</v>
      </c>
      <c r="P8" s="13">
        <v>0.08333333333333333</v>
      </c>
      <c r="Q8" s="12">
        <v>175</v>
      </c>
      <c r="R8" s="13">
        <v>0.09142857142857143</v>
      </c>
      <c r="S8" s="10">
        <v>1.5</v>
      </c>
      <c r="T8" s="12">
        <v>1527.5</v>
      </c>
      <c r="U8" s="12">
        <v>3</v>
      </c>
    </row>
    <row r="9" spans="1:21">
      <c r="A9" s="9" t="s">
        <v>71</v>
      </c>
      <c r="B9" s="9" t="s">
        <v>72</v>
      </c>
      <c r="C9" s="9" t="s">
        <v>32</v>
      </c>
      <c r="D9" s="9" t="s">
        <v>73</v>
      </c>
      <c r="E9" s="9" t="s">
        <v>56</v>
      </c>
      <c r="F9" s="12">
        <v>553118</v>
      </c>
      <c r="G9" s="12">
        <v>553118</v>
      </c>
      <c r="H9" s="12">
        <v>386200</v>
      </c>
      <c r="I9" s="11">
        <v>0.4322061108234077</v>
      </c>
      <c r="J9" s="9" t="s">
        <v>57</v>
      </c>
      <c r="K9" s="11">
        <v>0.4322061108234077</v>
      </c>
      <c r="L9" s="12">
        <v>467610</v>
      </c>
      <c r="M9" s="11">
        <v>0.1828617865315112</v>
      </c>
      <c r="N9" s="12">
        <v>542</v>
      </c>
      <c r="O9" s="12">
        <v>32</v>
      </c>
      <c r="P9" s="13">
        <v>0.05904059040590406</v>
      </c>
      <c r="Q9" s="12">
        <v>4600</v>
      </c>
      <c r="R9" s="13">
        <v>0.06043478260869565</v>
      </c>
      <c r="S9" s="10">
        <v>1.949640287769784</v>
      </c>
      <c r="T9" s="12">
        <v>1989.63309352518</v>
      </c>
      <c r="U9" s="12">
        <v>6</v>
      </c>
    </row>
    <row r="10" spans="1:21">
      <c r="A10" s="9" t="s">
        <v>74</v>
      </c>
      <c r="B10" s="9" t="s">
        <v>75</v>
      </c>
      <c r="C10" s="9" t="s">
        <v>32</v>
      </c>
      <c r="D10" s="9" t="s">
        <v>73</v>
      </c>
      <c r="E10" s="9" t="s">
        <v>56</v>
      </c>
      <c r="F10" s="12">
        <v>415465</v>
      </c>
      <c r="G10" s="12">
        <v>415465</v>
      </c>
      <c r="H10" s="12">
        <v>447730</v>
      </c>
      <c r="I10" s="11">
        <v>-0.07206352042525632</v>
      </c>
      <c r="J10" s="9" t="s">
        <v>57</v>
      </c>
      <c r="K10" s="11">
        <v>-0.07206352042525632</v>
      </c>
      <c r="L10" s="12">
        <v>394030</v>
      </c>
      <c r="M10" s="11">
        <v>0.05439941121234426</v>
      </c>
      <c r="N10" s="12">
        <v>408</v>
      </c>
      <c r="O10" s="12">
        <v>18</v>
      </c>
      <c r="P10" s="13">
        <v>0.04411764705882353</v>
      </c>
      <c r="Q10" s="12">
        <v>2209</v>
      </c>
      <c r="R10" s="13">
        <v>0.09913988229968311</v>
      </c>
      <c r="S10" s="10">
        <v>1.863013698630137</v>
      </c>
      <c r="T10" s="12">
        <v>1897.100456621004</v>
      </c>
      <c r="U10" s="12">
        <v>7</v>
      </c>
    </row>
    <row r="11" spans="1:21">
      <c r="A11" s="9" t="s">
        <v>76</v>
      </c>
      <c r="B11" s="9" t="s">
        <v>77</v>
      </c>
      <c r="C11" s="9" t="s">
        <v>32</v>
      </c>
      <c r="D11" s="9" t="s">
        <v>73</v>
      </c>
      <c r="E11" s="9" t="s">
        <v>56</v>
      </c>
      <c r="F11" s="12">
        <v>59820</v>
      </c>
      <c r="G11" s="12">
        <v>59820</v>
      </c>
      <c r="H11" s="12">
        <v>65710</v>
      </c>
      <c r="I11" s="11">
        <v>-0.08963628062699747</v>
      </c>
      <c r="J11" s="9" t="s">
        <v>57</v>
      </c>
      <c r="K11" s="11">
        <v>-0.08963628062699747</v>
      </c>
      <c r="L11" s="12">
        <v>91460</v>
      </c>
      <c r="M11" s="11">
        <v>-0.345943581893724</v>
      </c>
      <c r="N11" s="12">
        <v>48</v>
      </c>
      <c r="O11" s="12">
        <v>0</v>
      </c>
      <c r="P11" s="13">
        <v>0</v>
      </c>
      <c r="Q11" s="12">
        <v>477</v>
      </c>
      <c r="R11" s="13">
        <v>0.08176100628930817</v>
      </c>
      <c r="S11" s="10">
        <v>1.230769230769231</v>
      </c>
      <c r="T11" s="12">
        <v>1533.846153846154</v>
      </c>
      <c r="U11" s="12">
        <v>6</v>
      </c>
    </row>
    <row r="12" spans="1:21">
      <c r="A12" s="9" t="s">
        <v>78</v>
      </c>
      <c r="B12" s="9" t="s">
        <v>79</v>
      </c>
      <c r="C12" s="9" t="s">
        <v>32</v>
      </c>
      <c r="D12" s="9" t="s">
        <v>80</v>
      </c>
      <c r="E12" s="9" t="s">
        <v>81</v>
      </c>
      <c r="F12" s="12">
        <v>117125</v>
      </c>
      <c r="G12" s="12">
        <v>127047.4021043497</v>
      </c>
      <c r="H12" s="12">
        <v>119395.303956256</v>
      </c>
      <c r="I12" s="11">
        <v>0.06409044488799354</v>
      </c>
      <c r="J12" s="9" t="s">
        <v>57</v>
      </c>
      <c r="K12" s="11">
        <v>0.05176903735632177</v>
      </c>
      <c r="L12" s="12">
        <v>132526.3157894737</v>
      </c>
      <c r="M12" s="11">
        <v>-0.06970174741858615</v>
      </c>
      <c r="N12" s="12">
        <v>114</v>
      </c>
      <c r="O12" s="12">
        <v>5</v>
      </c>
      <c r="P12" s="13">
        <v>0.04385964912280702</v>
      </c>
      <c r="Q12" s="12">
        <v>712</v>
      </c>
      <c r="R12" s="13">
        <v>0.1067415730337079</v>
      </c>
      <c r="S12" s="10">
        <v>1.5</v>
      </c>
      <c r="T12" s="12">
        <v>1671.676343478286</v>
      </c>
      <c r="U12" s="12">
        <v>6</v>
      </c>
    </row>
    <row r="13" spans="1:21">
      <c r="A13" s="9" t="s">
        <v>82</v>
      </c>
      <c r="B13" s="9" t="s">
        <v>83</v>
      </c>
      <c r="C13" s="9" t="s">
        <v>32</v>
      </c>
      <c r="D13" s="9" t="s">
        <v>80</v>
      </c>
      <c r="E13" s="9" t="s">
        <v>81</v>
      </c>
      <c r="F13" s="12">
        <v>157490</v>
      </c>
      <c r="G13" s="12">
        <v>170831.9774379</v>
      </c>
      <c r="H13" s="12">
        <v>162120.7247775276</v>
      </c>
      <c r="I13" s="11">
        <v>0.05373312185919765</v>
      </c>
      <c r="J13" s="9" t="s">
        <v>57</v>
      </c>
      <c r="K13" s="11">
        <v>0.04153164473249138</v>
      </c>
      <c r="L13" s="12">
        <v>172978.9473684211</v>
      </c>
      <c r="M13" s="11">
        <v>-0.04162903912858285</v>
      </c>
      <c r="N13" s="12">
        <v>148</v>
      </c>
      <c r="O13" s="12">
        <v>3</v>
      </c>
      <c r="P13" s="13">
        <v>0.02027027027027027</v>
      </c>
      <c r="Q13" s="12">
        <v>1180</v>
      </c>
      <c r="R13" s="13">
        <v>0.07966101694915254</v>
      </c>
      <c r="S13" s="10">
        <v>1.574468085106383</v>
      </c>
      <c r="T13" s="12">
        <v>1817.361462105319</v>
      </c>
      <c r="U13" s="12">
        <v>6</v>
      </c>
    </row>
    <row r="14" spans="1:21">
      <c r="A14" s="9" t="s">
        <v>84</v>
      </c>
      <c r="B14" s="9" t="s">
        <v>85</v>
      </c>
      <c r="C14" s="9" t="s">
        <v>32</v>
      </c>
      <c r="D14" s="9" t="s">
        <v>80</v>
      </c>
      <c r="E14" s="9" t="s">
        <v>81</v>
      </c>
      <c r="F14" s="12">
        <v>42030</v>
      </c>
      <c r="G14" s="12">
        <v>45590.62805076472</v>
      </c>
      <c r="H14" s="12">
        <v>29570.06540152246</v>
      </c>
      <c r="I14" s="11">
        <v>0.5417831320865938</v>
      </c>
      <c r="J14" s="9" t="s">
        <v>57</v>
      </c>
      <c r="K14" s="11">
        <v>0.5239303843364758</v>
      </c>
      <c r="L14" s="12">
        <v>54157.89473684211</v>
      </c>
      <c r="M14" s="11">
        <v>-0.1830923226433431</v>
      </c>
      <c r="N14" s="12">
        <v>40</v>
      </c>
      <c r="O14" s="12">
        <v>1</v>
      </c>
      <c r="P14" s="13">
        <v>0.025</v>
      </c>
      <c r="Q14" s="12">
        <v>243</v>
      </c>
      <c r="R14" s="13">
        <v>0.1234567901234568</v>
      </c>
      <c r="S14" s="10">
        <v>1.333333333333333</v>
      </c>
      <c r="T14" s="12">
        <v>1519.687601692157</v>
      </c>
      <c r="U14" s="12">
        <v>7</v>
      </c>
    </row>
    <row r="15" spans="1:21">
      <c r="A15" s="9" t="s">
        <v>86</v>
      </c>
      <c r="B15" s="9" t="s">
        <v>87</v>
      </c>
      <c r="C15" s="9" t="s">
        <v>32</v>
      </c>
      <c r="D15" s="9" t="s">
        <v>88</v>
      </c>
      <c r="E15" s="9" t="s">
        <v>89</v>
      </c>
      <c r="F15" s="12">
        <v>521624</v>
      </c>
      <c r="G15" s="12">
        <v>597712.845193079</v>
      </c>
      <c r="H15" s="12">
        <v>379936.0876512212</v>
      </c>
      <c r="I15" s="11">
        <v>0.5731931359512639</v>
      </c>
      <c r="J15" s="9" t="s">
        <v>57</v>
      </c>
      <c r="K15" s="11">
        <v>0.5669089816761792</v>
      </c>
      <c r="L15" s="12">
        <v>484576.4705882353</v>
      </c>
      <c r="M15" s="11">
        <v>0.2664151836655417</v>
      </c>
      <c r="N15" s="12">
        <v>609</v>
      </c>
      <c r="O15" s="12">
        <v>32</v>
      </c>
      <c r="P15" s="13">
        <v>0.05254515599343185</v>
      </c>
      <c r="Q15" s="12">
        <v>3682</v>
      </c>
      <c r="R15" s="13">
        <v>0.09560021727322107</v>
      </c>
      <c r="S15" s="10">
        <v>1.730113636363636</v>
      </c>
      <c r="T15" s="12">
        <v>1698.047855662156</v>
      </c>
      <c r="U15" s="12">
        <v>7</v>
      </c>
    </row>
    <row r="16" spans="1:21">
      <c r="A16" s="9" t="s">
        <v>90</v>
      </c>
      <c r="B16" s="9" t="s">
        <v>91</v>
      </c>
      <c r="C16" s="9" t="s">
        <v>32</v>
      </c>
      <c r="D16" s="9" t="s">
        <v>88</v>
      </c>
      <c r="E16" s="9" t="s">
        <v>89</v>
      </c>
      <c r="F16" s="12">
        <v>231027</v>
      </c>
      <c r="G16" s="12">
        <v>264726.7102096941</v>
      </c>
      <c r="H16" s="12">
        <v>249280.9860762383</v>
      </c>
      <c r="I16" s="11">
        <v>0.06196110010866196</v>
      </c>
      <c r="J16" s="9" t="s">
        <v>57</v>
      </c>
      <c r="K16" s="11">
        <v>0.05771907334493198</v>
      </c>
      <c r="L16" s="12">
        <v>256670.5882352941</v>
      </c>
      <c r="M16" s="11">
        <v>0.0589253792913782</v>
      </c>
      <c r="N16" s="12">
        <v>282</v>
      </c>
      <c r="O16" s="12">
        <v>15</v>
      </c>
      <c r="P16" s="13">
        <v>0.05319148936170213</v>
      </c>
      <c r="Q16" s="12">
        <v>1482</v>
      </c>
      <c r="R16" s="13">
        <v>0.1059379217273954</v>
      </c>
      <c r="S16" s="10">
        <v>1.796178343949045</v>
      </c>
      <c r="T16" s="12">
        <v>1686.157389870663</v>
      </c>
      <c r="U16" s="12">
        <v>7</v>
      </c>
    </row>
    <row r="17" spans="1:21">
      <c r="A17" s="9" t="s">
        <v>92</v>
      </c>
      <c r="B17" s="9" t="s">
        <v>93</v>
      </c>
      <c r="C17" s="9" t="s">
        <v>32</v>
      </c>
      <c r="D17" s="9" t="s">
        <v>94</v>
      </c>
      <c r="E17" s="9" t="s">
        <v>56</v>
      </c>
      <c r="F17" s="12">
        <v>164573</v>
      </c>
      <c r="G17" s="12">
        <v>164573</v>
      </c>
      <c r="H17" s="12">
        <v>162090</v>
      </c>
      <c r="I17" s="11">
        <v>0.01531865013264233</v>
      </c>
      <c r="J17" s="9" t="s">
        <v>57</v>
      </c>
      <c r="K17" s="11">
        <v>0.01531865013264233</v>
      </c>
      <c r="L17" s="12">
        <v>222730</v>
      </c>
      <c r="M17" s="11">
        <v>-0.2611098639608495</v>
      </c>
      <c r="N17" s="12">
        <v>162</v>
      </c>
      <c r="O17" s="12">
        <v>5</v>
      </c>
      <c r="P17" s="13">
        <v>0.0308641975308642</v>
      </c>
      <c r="Q17" s="12">
        <v>1042</v>
      </c>
      <c r="R17" s="13">
        <v>0.100767754318618</v>
      </c>
      <c r="S17" s="10">
        <v>1.542857142857143</v>
      </c>
      <c r="T17" s="12">
        <v>1567.361904761905</v>
      </c>
      <c r="U17" s="12">
        <v>6</v>
      </c>
    </row>
    <row r="18" spans="1:21">
      <c r="A18" s="9" t="s">
        <v>95</v>
      </c>
      <c r="B18" s="9" t="s">
        <v>96</v>
      </c>
      <c r="C18" s="9" t="s">
        <v>32</v>
      </c>
      <c r="D18" s="9" t="s">
        <v>94</v>
      </c>
      <c r="E18" s="9" t="s">
        <v>56</v>
      </c>
      <c r="F18" s="12">
        <v>128634</v>
      </c>
      <c r="G18" s="12">
        <v>128634</v>
      </c>
      <c r="H18" s="12">
        <v>151060</v>
      </c>
      <c r="I18" s="11">
        <v>-0.1484575665298556</v>
      </c>
      <c r="J18" s="9" t="s">
        <v>57</v>
      </c>
      <c r="K18" s="11">
        <v>-0.1484575665298556</v>
      </c>
      <c r="L18" s="12">
        <v>109540</v>
      </c>
      <c r="M18" s="11">
        <v>0.1743107540624429</v>
      </c>
      <c r="N18" s="12">
        <v>126</v>
      </c>
      <c r="O18" s="12">
        <v>1</v>
      </c>
      <c r="P18" s="13">
        <v>0.007936507936507936</v>
      </c>
      <c r="Q18" s="12">
        <v>471</v>
      </c>
      <c r="R18" s="13">
        <v>0.1592356687898089</v>
      </c>
      <c r="S18" s="10">
        <v>1.68</v>
      </c>
      <c r="T18" s="12">
        <v>1715.12</v>
      </c>
      <c r="U18" s="12">
        <v>6</v>
      </c>
    </row>
    <row r="19" spans="1:21">
      <c r="A19" s="9" t="s">
        <v>97</v>
      </c>
      <c r="B19" s="9" t="s">
        <v>98</v>
      </c>
      <c r="C19" s="9" t="s">
        <v>32</v>
      </c>
      <c r="D19" s="9" t="s">
        <v>99</v>
      </c>
      <c r="E19" s="9" t="s">
        <v>56</v>
      </c>
      <c r="F19" s="12">
        <v>175740</v>
      </c>
      <c r="G19" s="12">
        <v>175740</v>
      </c>
      <c r="H19" s="12">
        <v>188180</v>
      </c>
      <c r="I19" s="11">
        <v>-0.06610691890742904</v>
      </c>
      <c r="J19" s="9" t="s">
        <v>57</v>
      </c>
      <c r="K19" s="11">
        <v>-0.06610691890742904</v>
      </c>
      <c r="L19" s="12">
        <v>204520</v>
      </c>
      <c r="M19" s="11">
        <v>-0.1407197340113436</v>
      </c>
      <c r="N19" s="12">
        <v>179</v>
      </c>
      <c r="O19" s="12">
        <v>10</v>
      </c>
      <c r="P19" s="13">
        <v>0.05586592178770949</v>
      </c>
      <c r="Q19" s="12">
        <v>826</v>
      </c>
      <c r="R19" s="13">
        <v>0.148910411622276</v>
      </c>
      <c r="S19" s="10">
        <v>1.455284552845528</v>
      </c>
      <c r="T19" s="12">
        <v>1428.780487804878</v>
      </c>
      <c r="U19" s="12">
        <v>7</v>
      </c>
    </row>
    <row r="20" spans="1:21">
      <c r="A20" s="9" t="s">
        <v>100</v>
      </c>
      <c r="B20" s="9" t="s">
        <v>101</v>
      </c>
      <c r="C20" s="9" t="s">
        <v>32</v>
      </c>
      <c r="D20" s="9" t="s">
        <v>102</v>
      </c>
      <c r="E20" s="9" t="s">
        <v>56</v>
      </c>
      <c r="F20" s="12">
        <v>121347</v>
      </c>
      <c r="G20" s="12">
        <v>121347</v>
      </c>
      <c r="H20" s="12">
        <v>124470</v>
      </c>
      <c r="I20" s="11">
        <v>-0.02509038322487345</v>
      </c>
      <c r="J20" s="9" t="s">
        <v>57</v>
      </c>
      <c r="K20" s="11">
        <v>-0.02509038322487345</v>
      </c>
      <c r="L20" s="12">
        <v>167980</v>
      </c>
      <c r="M20" s="11">
        <v>-0.2776104298130729</v>
      </c>
      <c r="N20" s="12">
        <v>114</v>
      </c>
      <c r="O20" s="12">
        <v>3</v>
      </c>
      <c r="P20" s="13">
        <v>0.02631578947368421</v>
      </c>
      <c r="Q20" s="12">
        <v>778</v>
      </c>
      <c r="R20" s="13">
        <v>0.08997429305912596</v>
      </c>
      <c r="S20" s="10">
        <v>1.628571428571429</v>
      </c>
      <c r="T20" s="12">
        <v>1733.528571428571</v>
      </c>
      <c r="U20" s="12">
        <v>7</v>
      </c>
    </row>
    <row r="21" spans="1:21">
      <c r="A21" s="9" t="s">
        <v>103</v>
      </c>
      <c r="B21" s="9" t="s">
        <v>104</v>
      </c>
      <c r="C21" s="9" t="s">
        <v>32</v>
      </c>
      <c r="D21" s="9" t="s">
        <v>105</v>
      </c>
      <c r="E21" s="9" t="s">
        <v>106</v>
      </c>
      <c r="F21" s="12">
        <v>646600</v>
      </c>
      <c r="G21" s="12">
        <v>86627.99265819053</v>
      </c>
      <c r="H21" s="12">
        <v>113986.8579857852</v>
      </c>
      <c r="I21" s="11">
        <v>-0.2400177161739685</v>
      </c>
      <c r="J21" s="9" t="s">
        <v>57</v>
      </c>
      <c r="K21" s="11">
        <v>-0.2392941176470589</v>
      </c>
      <c r="L21" s="12">
        <v>102975.8713136729</v>
      </c>
      <c r="M21" s="11">
        <v>-0.1582979692788337</v>
      </c>
      <c r="N21" s="12">
        <v>78</v>
      </c>
      <c r="O21" s="12">
        <v>3</v>
      </c>
      <c r="P21" s="13">
        <v>0.03846153846153846</v>
      </c>
      <c r="Q21" s="12">
        <v>437</v>
      </c>
      <c r="R21" s="13">
        <v>0.1258581235697941</v>
      </c>
      <c r="S21" s="10">
        <v>1.418181818181818</v>
      </c>
      <c r="T21" s="12">
        <v>1575.054411967101</v>
      </c>
      <c r="U21" s="12">
        <v>6</v>
      </c>
    </row>
    <row r="22" spans="1:21">
      <c r="A22" s="9" t="s">
        <v>107</v>
      </c>
      <c r="B22" s="9" t="s">
        <v>108</v>
      </c>
      <c r="C22" s="9" t="s">
        <v>32</v>
      </c>
      <c r="D22" s="9" t="s">
        <v>109</v>
      </c>
      <c r="E22" s="9" t="s">
        <v>110</v>
      </c>
      <c r="F22" s="12">
        <v>738000</v>
      </c>
      <c r="G22" s="12">
        <v>171007.5076466772</v>
      </c>
      <c r="H22" s="12">
        <v>136128.5339824003</v>
      </c>
      <c r="I22" s="11">
        <v>0.2562208865687652</v>
      </c>
      <c r="J22" s="9" t="s">
        <v>57</v>
      </c>
      <c r="K22" s="11">
        <v>0.2688042637324852</v>
      </c>
      <c r="L22" s="12">
        <v>186797.5</v>
      </c>
      <c r="M22" s="11">
        <v>-0.01229406175136172</v>
      </c>
      <c r="N22" s="12">
        <v>180</v>
      </c>
      <c r="O22" s="12">
        <v>7</v>
      </c>
      <c r="P22" s="13">
        <v>0.03888888888888889</v>
      </c>
      <c r="Q22" s="12">
        <v>1000</v>
      </c>
      <c r="R22" s="13">
        <v>0.106</v>
      </c>
      <c r="S22" s="10">
        <v>1.69811320754717</v>
      </c>
      <c r="T22" s="12">
        <v>1613.278374025256</v>
      </c>
      <c r="U22" s="12">
        <v>7</v>
      </c>
    </row>
    <row r="23" spans="1:21">
      <c r="A23" s="9" t="s">
        <v>111</v>
      </c>
      <c r="B23" s="9" t="s">
        <v>112</v>
      </c>
      <c r="C23" s="9" t="s">
        <v>33</v>
      </c>
      <c r="D23" s="9" t="s">
        <v>113</v>
      </c>
      <c r="E23" s="9" t="s">
        <v>114</v>
      </c>
      <c r="F23" s="12">
        <v>491432.5</v>
      </c>
      <c r="G23" s="12">
        <v>418169.2477876106</v>
      </c>
      <c r="H23" s="12">
        <v>293965.9618359979</v>
      </c>
      <c r="I23" s="11">
        <v>0.4225090727371525</v>
      </c>
      <c r="J23" s="9" t="s">
        <v>57</v>
      </c>
      <c r="K23" s="11">
        <v>0.4369371345029238</v>
      </c>
      <c r="L23" s="12">
        <v>459851.8518518518</v>
      </c>
      <c r="M23" s="11">
        <v>-0.01048348904639163</v>
      </c>
      <c r="N23" s="12">
        <v>387</v>
      </c>
      <c r="O23" s="12">
        <v>20</v>
      </c>
      <c r="P23" s="13">
        <v>0.05167958656330749</v>
      </c>
      <c r="Q23" s="12">
        <v>2943</v>
      </c>
      <c r="R23" s="13">
        <v>0.08053007135575943</v>
      </c>
      <c r="S23" s="10">
        <v>1.632911392405063</v>
      </c>
      <c r="T23" s="12">
        <v>1764.427205854897</v>
      </c>
      <c r="U23" s="12">
        <v>7</v>
      </c>
    </row>
    <row r="24" spans="1:21">
      <c r="A24" s="9" t="s">
        <v>115</v>
      </c>
      <c r="B24" s="9" t="s">
        <v>116</v>
      </c>
      <c r="C24" s="9" t="s">
        <v>33</v>
      </c>
      <c r="D24" s="9" t="s">
        <v>113</v>
      </c>
      <c r="E24" s="9" t="s">
        <v>114</v>
      </c>
      <c r="F24" s="12">
        <v>246355</v>
      </c>
      <c r="G24" s="12">
        <v>209628.1484002723</v>
      </c>
      <c r="H24" s="12">
        <v>245401.4096613375</v>
      </c>
      <c r="I24" s="11">
        <v>-0.1457744733839692</v>
      </c>
      <c r="J24" s="9" t="s">
        <v>57</v>
      </c>
      <c r="K24" s="11">
        <v>-0.1371103327495622</v>
      </c>
      <c r="L24" s="12">
        <v>258574.074074074</v>
      </c>
      <c r="M24" s="11">
        <v>-0.1178272577526318</v>
      </c>
      <c r="N24" s="12">
        <v>205</v>
      </c>
      <c r="O24" s="12">
        <v>13</v>
      </c>
      <c r="P24" s="13">
        <v>0.06341463414634146</v>
      </c>
      <c r="Q24" s="12">
        <v>1269</v>
      </c>
      <c r="R24" s="13">
        <v>0.1008668242710796</v>
      </c>
      <c r="S24" s="10">
        <v>1.6015625</v>
      </c>
      <c r="T24" s="12">
        <v>1637.719909377127</v>
      </c>
      <c r="U24" s="12">
        <v>7</v>
      </c>
    </row>
    <row r="25" spans="1:21">
      <c r="A25" s="9" t="s">
        <v>117</v>
      </c>
      <c r="B25" s="9" t="s">
        <v>118</v>
      </c>
      <c r="C25" s="9" t="s">
        <v>33</v>
      </c>
      <c r="D25" s="9" t="s">
        <v>113</v>
      </c>
      <c r="E25" s="9" t="s">
        <v>114</v>
      </c>
      <c r="F25" s="12">
        <v>84500</v>
      </c>
      <c r="G25" s="12">
        <v>71902.65486725664</v>
      </c>
      <c r="H25" s="12">
        <v>92616.46897025958</v>
      </c>
      <c r="I25" s="11">
        <v>-0.2236515204402192</v>
      </c>
      <c r="J25" s="9" t="s">
        <v>57</v>
      </c>
      <c r="K25" s="11">
        <v>-0.2157772621809744</v>
      </c>
      <c r="L25" s="12">
        <v>94620.37037037036</v>
      </c>
      <c r="M25" s="11">
        <v>-0.1731167433212643</v>
      </c>
      <c r="N25" s="12">
        <v>84</v>
      </c>
      <c r="O25" s="12">
        <v>4</v>
      </c>
      <c r="P25" s="13">
        <v>0.04761904761904762</v>
      </c>
      <c r="Q25" s="12">
        <v>565</v>
      </c>
      <c r="R25" s="13">
        <v>0.09380530973451327</v>
      </c>
      <c r="S25" s="10">
        <v>1.584905660377359</v>
      </c>
      <c r="T25" s="12">
        <v>1356.653865419937</v>
      </c>
      <c r="U25" s="12">
        <v>7</v>
      </c>
    </row>
    <row r="26" spans="1:21">
      <c r="A26" s="9" t="s">
        <v>119</v>
      </c>
      <c r="B26" s="9" t="s">
        <v>120</v>
      </c>
      <c r="C26" s="9" t="s">
        <v>33</v>
      </c>
      <c r="D26" s="9" t="s">
        <v>113</v>
      </c>
      <c r="E26" s="9" t="s">
        <v>114</v>
      </c>
      <c r="F26" s="12">
        <v>188487.5</v>
      </c>
      <c r="G26" s="12">
        <v>160387.5936010892</v>
      </c>
      <c r="H26" s="12">
        <v>123560.2544266804</v>
      </c>
      <c r="I26" s="11">
        <v>0.2980516618817888</v>
      </c>
      <c r="J26" s="9" t="s">
        <v>57</v>
      </c>
      <c r="K26" s="11">
        <v>0.3112173913043477</v>
      </c>
      <c r="L26" s="12">
        <v>180611.1111111111</v>
      </c>
      <c r="M26" s="11">
        <v>-0.03369178714241761</v>
      </c>
      <c r="N26" s="12">
        <v>167</v>
      </c>
      <c r="O26" s="12">
        <v>12</v>
      </c>
      <c r="P26" s="13">
        <v>0.0718562874251497</v>
      </c>
      <c r="Q26" s="12">
        <v>846</v>
      </c>
      <c r="R26" s="13">
        <v>0.1217494089834515</v>
      </c>
      <c r="S26" s="10">
        <v>1.621359223300971</v>
      </c>
      <c r="T26" s="12">
        <v>1557.161102923196</v>
      </c>
      <c r="U26" s="12">
        <v>7</v>
      </c>
    </row>
    <row r="27" spans="1:21">
      <c r="A27" s="9" t="s">
        <v>121</v>
      </c>
      <c r="B27" s="9" t="s">
        <v>122</v>
      </c>
      <c r="C27" s="9" t="s">
        <v>33</v>
      </c>
      <c r="D27" s="9" t="s">
        <v>113</v>
      </c>
      <c r="E27" s="9" t="s">
        <v>114</v>
      </c>
      <c r="F27" s="12">
        <v>33797.5</v>
      </c>
      <c r="G27" s="12">
        <v>28758.93464942138</v>
      </c>
      <c r="H27" s="12">
        <v>35714.28571428572</v>
      </c>
      <c r="I27" s="11">
        <v>-0.1947498298162016</v>
      </c>
      <c r="J27" s="9" t="s">
        <v>57</v>
      </c>
      <c r="K27" s="11">
        <v>-0.1865824308062575</v>
      </c>
      <c r="L27" s="12">
        <v>41287.03703703704</v>
      </c>
      <c r="M27" s="11">
        <v>-0.242038125140166</v>
      </c>
      <c r="N27" s="12">
        <v>32</v>
      </c>
      <c r="O27" s="12">
        <v>1</v>
      </c>
      <c r="P27" s="13">
        <v>0.03125</v>
      </c>
      <c r="Q27" s="12">
        <v>150</v>
      </c>
      <c r="R27" s="13">
        <v>0.16</v>
      </c>
      <c r="S27" s="10">
        <v>1.333333333333333</v>
      </c>
      <c r="T27" s="12">
        <v>1198.288943725891</v>
      </c>
      <c r="U27" s="12">
        <v>7</v>
      </c>
    </row>
    <row r="28" spans="1:21">
      <c r="A28" s="9" t="s">
        <v>123</v>
      </c>
      <c r="B28" s="9" t="s">
        <v>124</v>
      </c>
      <c r="C28" s="9" t="s">
        <v>33</v>
      </c>
      <c r="D28" s="9" t="s">
        <v>125</v>
      </c>
      <c r="E28" s="9" t="s">
        <v>126</v>
      </c>
      <c r="F28" s="12">
        <v>227417.5</v>
      </c>
      <c r="G28" s="12">
        <v>140087.1627448565</v>
      </c>
      <c r="H28" s="12">
        <v>170648.7777981989</v>
      </c>
      <c r="I28" s="11">
        <v>-0.179090735062182</v>
      </c>
      <c r="J28" s="9" t="s">
        <v>57</v>
      </c>
      <c r="K28" s="11">
        <v>-0.1835666846167655</v>
      </c>
      <c r="L28" s="12">
        <v>216614.8648648649</v>
      </c>
      <c r="M28" s="11">
        <v>-0.2906304001996319</v>
      </c>
      <c r="N28" s="12">
        <v>136</v>
      </c>
      <c r="O28" s="12">
        <v>15</v>
      </c>
      <c r="P28" s="13">
        <v>0.1102941176470588</v>
      </c>
      <c r="Q28" s="12">
        <v>866</v>
      </c>
      <c r="R28" s="13">
        <v>0.09584295612009237</v>
      </c>
      <c r="S28" s="10">
        <v>1.63855421686747</v>
      </c>
      <c r="T28" s="12">
        <v>1687.797141504295</v>
      </c>
      <c r="U28" s="12">
        <v>7</v>
      </c>
    </row>
    <row r="29" spans="1:21">
      <c r="A29" s="9" t="s">
        <v>127</v>
      </c>
      <c r="B29" s="9" t="s">
        <v>128</v>
      </c>
      <c r="C29" s="9" t="s">
        <v>34</v>
      </c>
      <c r="D29" s="9" t="s">
        <v>129</v>
      </c>
      <c r="E29" s="9" t="s">
        <v>130</v>
      </c>
      <c r="F29" s="12">
        <v>103556400</v>
      </c>
      <c r="G29" s="12">
        <v>600396.5677179963</v>
      </c>
      <c r="H29" s="12">
        <v>501320.7547169811</v>
      </c>
      <c r="I29" s="11">
        <v>0.1976295855872714</v>
      </c>
      <c r="J29" s="9" t="s">
        <v>57</v>
      </c>
      <c r="K29" s="11">
        <v>0.1810586101892087</v>
      </c>
      <c r="L29" s="12">
        <v>792863.7037037037</v>
      </c>
      <c r="M29" s="11">
        <v>-0.193761806709107</v>
      </c>
      <c r="N29" s="12">
        <v>511</v>
      </c>
      <c r="O29" s="12">
        <v>12</v>
      </c>
      <c r="P29" s="13">
        <v>0.02348336594911937</v>
      </c>
      <c r="Q29" s="12">
        <v>5258</v>
      </c>
      <c r="R29" s="13">
        <v>0.05154050969950551</v>
      </c>
      <c r="S29" s="10">
        <v>1.885608856088561</v>
      </c>
      <c r="T29" s="12">
        <v>2215.485489734304</v>
      </c>
      <c r="U29" s="12">
        <v>7</v>
      </c>
    </row>
    <row r="30" spans="1:21">
      <c r="A30" s="9" t="s">
        <v>131</v>
      </c>
      <c r="B30" s="9" t="s">
        <v>132</v>
      </c>
      <c r="C30" s="9" t="s">
        <v>34</v>
      </c>
      <c r="D30" s="9" t="s">
        <v>129</v>
      </c>
      <c r="E30" s="9" t="s">
        <v>130</v>
      </c>
      <c r="F30" s="12">
        <v>43732600</v>
      </c>
      <c r="G30" s="12">
        <v>253551.7161410019</v>
      </c>
      <c r="H30" s="12">
        <v>327398.5134362493</v>
      </c>
      <c r="I30" s="11">
        <v>-0.2255562999360619</v>
      </c>
      <c r="J30" s="9" t="s">
        <v>57</v>
      </c>
      <c r="K30" s="11">
        <v>-0.2362718731444936</v>
      </c>
      <c r="L30" s="12">
        <v>386761.1111111111</v>
      </c>
      <c r="M30" s="11">
        <v>-0.3020110030595975</v>
      </c>
      <c r="N30" s="12">
        <v>216</v>
      </c>
      <c r="O30" s="12">
        <v>9</v>
      </c>
      <c r="P30" s="13">
        <v>0.04166666666666666</v>
      </c>
      <c r="Q30" s="12">
        <v>1894</v>
      </c>
      <c r="R30" s="13">
        <v>0.0665258711721225</v>
      </c>
      <c r="S30" s="10">
        <v>1.714285714285714</v>
      </c>
      <c r="T30" s="12">
        <v>2012.315207468269</v>
      </c>
      <c r="U30" s="12">
        <v>7</v>
      </c>
    </row>
    <row r="31" spans="1:21">
      <c r="A31" s="9" t="s">
        <v>133</v>
      </c>
      <c r="B31" s="9" t="s">
        <v>134</v>
      </c>
      <c r="C31" s="9" t="s">
        <v>34</v>
      </c>
      <c r="D31" s="9" t="s">
        <v>129</v>
      </c>
      <c r="E31" s="9" t="s">
        <v>130</v>
      </c>
      <c r="F31" s="12">
        <v>40439600</v>
      </c>
      <c r="G31" s="12">
        <v>234459.6474953618</v>
      </c>
      <c r="H31" s="12">
        <v>218799.3138936535</v>
      </c>
      <c r="I31" s="11">
        <v>0.07157396119313209</v>
      </c>
      <c r="J31" s="9" t="s">
        <v>57</v>
      </c>
      <c r="K31" s="11">
        <v>0.05674715166718935</v>
      </c>
      <c r="L31" s="12">
        <v>349649.0740740741</v>
      </c>
      <c r="M31" s="11">
        <v>-0.2860584554354764</v>
      </c>
      <c r="N31" s="12">
        <v>232</v>
      </c>
      <c r="O31" s="12">
        <v>6</v>
      </c>
      <c r="P31" s="13">
        <v>0.02586206896551724</v>
      </c>
      <c r="Q31" s="12">
        <v>1827</v>
      </c>
      <c r="R31" s="13">
        <v>0.06787082649151614</v>
      </c>
      <c r="S31" s="10">
        <v>1.870967741935484</v>
      </c>
      <c r="T31" s="12">
        <v>1890.803608833563</v>
      </c>
      <c r="U31" s="12">
        <v>7</v>
      </c>
    </row>
    <row r="32" spans="1:21">
      <c r="A32" s="9" t="s">
        <v>135</v>
      </c>
      <c r="B32" s="9" t="s">
        <v>136</v>
      </c>
      <c r="C32" s="9" t="s">
        <v>34</v>
      </c>
      <c r="D32" s="9" t="s">
        <v>137</v>
      </c>
      <c r="E32" s="9" t="s">
        <v>138</v>
      </c>
      <c r="F32" s="12">
        <v>1093792000</v>
      </c>
      <c r="G32" s="12">
        <v>668021.6934577613</v>
      </c>
      <c r="H32" s="12">
        <v>403079.5344325897</v>
      </c>
      <c r="I32" s="11">
        <v>0.6572949911687467</v>
      </c>
      <c r="J32" s="9" t="s">
        <v>57</v>
      </c>
      <c r="K32" s="11">
        <v>0.6449978944835468</v>
      </c>
      <c r="L32" s="12">
        <v>622514.3513513514</v>
      </c>
      <c r="M32" s="11">
        <v>0.1871999390787951</v>
      </c>
      <c r="N32" s="12">
        <v>574</v>
      </c>
      <c r="O32" s="12">
        <v>13</v>
      </c>
      <c r="P32" s="13">
        <v>0.02264808362369338</v>
      </c>
      <c r="Q32" s="12">
        <v>3977</v>
      </c>
      <c r="R32" s="13">
        <v>0.08046266029670605</v>
      </c>
      <c r="S32" s="10">
        <v>1.79375</v>
      </c>
      <c r="T32" s="12">
        <v>2087.567792055504</v>
      </c>
      <c r="U32" s="12">
        <v>7</v>
      </c>
    </row>
    <row r="33" spans="1:21">
      <c r="A33" s="9" t="s">
        <v>139</v>
      </c>
      <c r="B33" s="9" t="s">
        <v>140</v>
      </c>
      <c r="C33" s="9" t="s">
        <v>34</v>
      </c>
      <c r="D33" s="9" t="s">
        <v>137</v>
      </c>
      <c r="E33" s="9" t="s">
        <v>138</v>
      </c>
      <c r="F33" s="12">
        <v>738118000</v>
      </c>
      <c r="G33" s="12">
        <v>450797.6254458397</v>
      </c>
      <c r="H33" s="12">
        <v>250618.3317167799</v>
      </c>
      <c r="I33" s="11">
        <v>0.798741625793278</v>
      </c>
      <c r="J33" s="9" t="s">
        <v>57</v>
      </c>
      <c r="K33" s="11">
        <v>0.785394997823037</v>
      </c>
      <c r="L33" s="12">
        <v>550176.1283783783</v>
      </c>
      <c r="M33" s="11">
        <v>-0.09351028829625274</v>
      </c>
      <c r="N33" s="12">
        <v>376</v>
      </c>
      <c r="O33" s="12">
        <v>6</v>
      </c>
      <c r="P33" s="13">
        <v>0.01595744680851064</v>
      </c>
      <c r="Q33" s="12">
        <v>2145</v>
      </c>
      <c r="R33" s="13">
        <v>0.1086247086247086</v>
      </c>
      <c r="S33" s="10">
        <v>1.613733905579399</v>
      </c>
      <c r="T33" s="12">
        <v>1934.753757278282</v>
      </c>
      <c r="U33" s="12">
        <v>7</v>
      </c>
    </row>
    <row r="34" spans="1:21">
      <c r="A34" s="9" t="s">
        <v>141</v>
      </c>
      <c r="B34" s="9" t="s">
        <v>142</v>
      </c>
      <c r="C34" s="9" t="s">
        <v>34</v>
      </c>
      <c r="D34" s="9" t="s">
        <v>137</v>
      </c>
      <c r="E34" s="9" t="s">
        <v>138</v>
      </c>
      <c r="F34" s="12">
        <v>322762000</v>
      </c>
      <c r="G34" s="12">
        <v>197123.4181853716</v>
      </c>
      <c r="H34" s="12">
        <v>152697.6236663434</v>
      </c>
      <c r="I34" s="11">
        <v>0.2909396587343243</v>
      </c>
      <c r="J34" s="9" t="s">
        <v>57</v>
      </c>
      <c r="K34" s="11">
        <v>0.2813609115089921</v>
      </c>
      <c r="L34" s="12">
        <v>259085.7635135135</v>
      </c>
      <c r="M34" s="11">
        <v>-0.1582632830050302</v>
      </c>
      <c r="N34" s="12">
        <v>190</v>
      </c>
      <c r="O34" s="12">
        <v>3</v>
      </c>
      <c r="P34" s="13">
        <v>0.01578947368421053</v>
      </c>
      <c r="Q34" s="12">
        <v>1104</v>
      </c>
      <c r="R34" s="13">
        <v>0.1005434782608696</v>
      </c>
      <c r="S34" s="10">
        <v>1.711711711711712</v>
      </c>
      <c r="T34" s="12">
        <v>1775.886650318663</v>
      </c>
      <c r="U34" s="12">
        <v>7</v>
      </c>
    </row>
    <row r="35" spans="1:21">
      <c r="A35" s="9" t="s">
        <v>143</v>
      </c>
      <c r="B35" s="9" t="s">
        <v>144</v>
      </c>
      <c r="C35" s="9" t="s">
        <v>34</v>
      </c>
      <c r="D35" s="9" t="s">
        <v>145</v>
      </c>
      <c r="E35" s="9" t="s">
        <v>146</v>
      </c>
      <c r="F35" s="12">
        <v>5915930</v>
      </c>
      <c r="G35" s="12">
        <v>719988.5598841384</v>
      </c>
      <c r="H35" s="12">
        <v>534559.189671715</v>
      </c>
      <c r="I35" s="11">
        <v>0.3468827658286069</v>
      </c>
      <c r="J35" s="9" t="s">
        <v>57</v>
      </c>
      <c r="K35" s="11">
        <v>0.3441018766756032</v>
      </c>
      <c r="L35" s="12">
        <v>746169.2307692308</v>
      </c>
      <c r="M35" s="11">
        <v>0.01646378425187112</v>
      </c>
      <c r="N35" s="12">
        <v>556</v>
      </c>
      <c r="O35" s="12">
        <v>14</v>
      </c>
      <c r="P35" s="13">
        <v>0.02517985611510791</v>
      </c>
      <c r="Q35" s="12">
        <v>4496</v>
      </c>
      <c r="R35" s="13">
        <v>0.07540035587188612</v>
      </c>
      <c r="S35" s="10">
        <v>1.640117994100295</v>
      </c>
      <c r="T35" s="12">
        <v>2123.860058655276</v>
      </c>
      <c r="U35" s="12">
        <v>7</v>
      </c>
    </row>
    <row r="36" spans="1:21">
      <c r="A36" s="9" t="s">
        <v>147</v>
      </c>
      <c r="B36" s="9" t="s">
        <v>148</v>
      </c>
      <c r="C36" s="9" t="s">
        <v>34</v>
      </c>
      <c r="D36" s="9" t="s">
        <v>145</v>
      </c>
      <c r="E36" s="9" t="s">
        <v>146</v>
      </c>
      <c r="F36" s="12">
        <v>4795790</v>
      </c>
      <c r="G36" s="12">
        <v>583663.7579563572</v>
      </c>
      <c r="H36" s="12">
        <v>476930.1771985863</v>
      </c>
      <c r="I36" s="11">
        <v>0.2237928859622751</v>
      </c>
      <c r="J36" s="9" t="s">
        <v>57</v>
      </c>
      <c r="K36" s="11">
        <v>0.2212661386844585</v>
      </c>
      <c r="L36" s="12">
        <v>559714.1025641026</v>
      </c>
      <c r="M36" s="11">
        <v>0.09850189084628824</v>
      </c>
      <c r="N36" s="12">
        <v>448</v>
      </c>
      <c r="O36" s="12">
        <v>15</v>
      </c>
      <c r="P36" s="13">
        <v>0.03348214285714286</v>
      </c>
      <c r="Q36" s="12">
        <v>2996</v>
      </c>
      <c r="R36" s="13">
        <v>0.08611481975967958</v>
      </c>
      <c r="S36" s="10">
        <v>1.736434108527132</v>
      </c>
      <c r="T36" s="12">
        <v>2262.262627737819</v>
      </c>
      <c r="U36" s="12">
        <v>7</v>
      </c>
    </row>
    <row r="37" spans="1:21">
      <c r="A37" s="9" t="s">
        <v>149</v>
      </c>
      <c r="B37" s="9" t="s">
        <v>150</v>
      </c>
      <c r="C37" s="9" t="s">
        <v>34</v>
      </c>
      <c r="D37" s="9" t="s">
        <v>145</v>
      </c>
      <c r="E37" s="9" t="s">
        <v>146</v>
      </c>
      <c r="F37" s="12">
        <v>3308330</v>
      </c>
      <c r="G37" s="12">
        <v>402634.8777489747</v>
      </c>
      <c r="H37" s="12">
        <v>285801.0372007724</v>
      </c>
      <c r="I37" s="11">
        <v>0.4087943196165786</v>
      </c>
      <c r="J37" s="9" t="s">
        <v>57</v>
      </c>
      <c r="K37" s="11">
        <v>0.4058856025837159</v>
      </c>
      <c r="L37" s="12">
        <v>428737.1794871795</v>
      </c>
      <c r="M37" s="11">
        <v>-0.01070861055873695</v>
      </c>
      <c r="N37" s="12">
        <v>303</v>
      </c>
      <c r="O37" s="12">
        <v>7</v>
      </c>
      <c r="P37" s="13">
        <v>0.0231023102310231</v>
      </c>
      <c r="Q37" s="12">
        <v>2054</v>
      </c>
      <c r="R37" s="13">
        <v>0.0866601752677702</v>
      </c>
      <c r="S37" s="10">
        <v>1.702247191011236</v>
      </c>
      <c r="T37" s="12">
        <v>2261.993695218959</v>
      </c>
      <c r="U37" s="12">
        <v>7</v>
      </c>
    </row>
    <row r="38" spans="1:21">
      <c r="A38" s="9" t="s">
        <v>151</v>
      </c>
      <c r="B38" s="9" t="s">
        <v>152</v>
      </c>
      <c r="C38" s="9" t="s">
        <v>34</v>
      </c>
      <c r="D38" s="9" t="s">
        <v>153</v>
      </c>
      <c r="E38" s="9" t="s">
        <v>154</v>
      </c>
      <c r="F38" s="12">
        <v>2213400</v>
      </c>
      <c r="G38" s="12">
        <v>242168.9515202573</v>
      </c>
      <c r="H38" s="12">
        <v>199474.6600741656</v>
      </c>
      <c r="I38" s="11">
        <v>0.2140336593641405</v>
      </c>
      <c r="J38" s="9" t="s">
        <v>57</v>
      </c>
      <c r="K38" s="11">
        <v>0.2246320681642138</v>
      </c>
      <c r="L38" s="12">
        <v>241718.3431952663</v>
      </c>
      <c r="M38" s="11">
        <v>0.08366206940446097</v>
      </c>
      <c r="N38" s="12">
        <v>242</v>
      </c>
      <c r="O38" s="12">
        <v>2</v>
      </c>
      <c r="P38" s="13">
        <v>0.008264462809917356</v>
      </c>
      <c r="Q38" s="12">
        <v>1437</v>
      </c>
      <c r="R38" s="13">
        <v>0.08837856645789841</v>
      </c>
      <c r="S38" s="10">
        <v>1.905511811023622</v>
      </c>
      <c r="T38" s="12">
        <v>1906.842137954782</v>
      </c>
      <c r="U38" s="12">
        <v>7</v>
      </c>
    </row>
    <row r="39" spans="1:21">
      <c r="A39" s="9" t="s">
        <v>155</v>
      </c>
      <c r="B39" s="9" t="s">
        <v>156</v>
      </c>
      <c r="C39" s="9" t="s">
        <v>34</v>
      </c>
      <c r="D39" s="9" t="s">
        <v>157</v>
      </c>
      <c r="E39" s="9" t="s">
        <v>158</v>
      </c>
      <c r="F39" s="12">
        <v>5096130</v>
      </c>
      <c r="G39" s="12">
        <v>141323.6272878536</v>
      </c>
      <c r="H39" s="12">
        <v>136026.323158779</v>
      </c>
      <c r="I39" s="11">
        <v>0.03894322809042738</v>
      </c>
      <c r="J39" s="9" t="s">
        <v>57</v>
      </c>
      <c r="K39" s="11">
        <v>0.04912609366958298</v>
      </c>
      <c r="L39" s="12">
        <v>171296.8390804598</v>
      </c>
      <c r="M39" s="11">
        <v>-0.1451097359057764</v>
      </c>
      <c r="N39" s="12">
        <v>135</v>
      </c>
      <c r="O39" s="12">
        <v>3</v>
      </c>
      <c r="P39" s="13">
        <v>0.02222222222222222</v>
      </c>
      <c r="Q39" s="12">
        <v>985</v>
      </c>
      <c r="R39" s="13">
        <v>0.08730964467005076</v>
      </c>
      <c r="S39" s="10">
        <v>1.569767441860465</v>
      </c>
      <c r="T39" s="12">
        <v>1643.297991719228</v>
      </c>
      <c r="U39" s="12">
        <v>7</v>
      </c>
    </row>
    <row r="40" spans="1:21">
      <c r="A40" s="9" t="s">
        <v>159</v>
      </c>
      <c r="B40" s="9" t="s">
        <v>160</v>
      </c>
      <c r="C40" s="9" t="s">
        <v>34</v>
      </c>
      <c r="D40" s="9" t="s">
        <v>161</v>
      </c>
      <c r="E40" s="9" t="s">
        <v>162</v>
      </c>
      <c r="F40" s="12">
        <v>197450</v>
      </c>
      <c r="G40" s="12">
        <v>130935.0132625995</v>
      </c>
      <c r="H40" s="12">
        <v>122898.3978374102</v>
      </c>
      <c r="I40" s="11">
        <v>0.06539235308682723</v>
      </c>
      <c r="J40" s="9" t="s">
        <v>57</v>
      </c>
      <c r="K40" s="11">
        <v>0.05928111587982832</v>
      </c>
      <c r="L40" s="12">
        <v>169800</v>
      </c>
      <c r="M40" s="11">
        <v>-0.1980388692579506</v>
      </c>
      <c r="N40" s="12">
        <v>147</v>
      </c>
      <c r="O40" s="12">
        <v>1</v>
      </c>
      <c r="P40" s="13">
        <v>0.006802721088435374</v>
      </c>
      <c r="Q40" s="12">
        <v>1263</v>
      </c>
      <c r="R40" s="13">
        <v>0.07600950118764846</v>
      </c>
      <c r="S40" s="10">
        <v>1.53125</v>
      </c>
      <c r="T40" s="12">
        <v>1363.906388152078</v>
      </c>
      <c r="U40" s="12">
        <v>7</v>
      </c>
    </row>
    <row r="41" spans="1:21">
      <c r="A41" s="9" t="s">
        <v>163</v>
      </c>
      <c r="B41" s="9" t="s">
        <v>164</v>
      </c>
      <c r="C41" s="9" t="s">
        <v>34</v>
      </c>
      <c r="D41" s="9" t="s">
        <v>165</v>
      </c>
      <c r="E41" s="9" t="s">
        <v>166</v>
      </c>
      <c r="F41" s="12">
        <v>75200</v>
      </c>
      <c r="G41" s="12">
        <v>42608.64638223129</v>
      </c>
      <c r="H41" s="12">
        <v>53966.26396170504</v>
      </c>
      <c r="I41" s="11">
        <v>-0.2104577331410827</v>
      </c>
      <c r="J41" s="9" t="s">
        <v>57</v>
      </c>
      <c r="K41" s="11">
        <v>-0.2059134107708553</v>
      </c>
      <c r="L41" s="12">
        <v>53478.78787878788</v>
      </c>
      <c r="M41" s="11">
        <v>-0.1477742520398913</v>
      </c>
      <c r="N41" s="12">
        <v>51</v>
      </c>
      <c r="O41" s="12">
        <v>1</v>
      </c>
      <c r="P41" s="13">
        <v>0.0196078431372549</v>
      </c>
      <c r="Q41" s="12">
        <v>342</v>
      </c>
      <c r="R41" s="13">
        <v>0.108187134502924</v>
      </c>
      <c r="S41" s="10">
        <v>1.378378378378378</v>
      </c>
      <c r="T41" s="12">
        <v>1151.585037357602</v>
      </c>
      <c r="U41" s="12">
        <v>7</v>
      </c>
    </row>
    <row r="42" spans="1:21">
      <c r="B42" s="14" t="s">
        <v>167</v>
      </c>
      <c r="G42" s="17">
        <v>10119329.90783691</v>
      </c>
      <c r="H42" s="17">
        <v>8470015.839203442</v>
      </c>
      <c r="L42" s="17">
        <v>10997287.51244841</v>
      </c>
      <c r="N42" s="17">
        <v>9255</v>
      </c>
      <c r="O42" s="17">
        <v>341</v>
      </c>
      <c r="Q42" s="17">
        <v>63421</v>
      </c>
    </row>
    <row r="44" spans="1:21">
      <c r="B44" s="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2" width="18.7109375" customWidth="1"/>
    <col min="3" max="8" width="11.7109375" customWidth="1"/>
  </cols>
  <sheetData>
    <row r="1" spans="1:8">
      <c r="A1" s="7" t="s">
        <v>168</v>
      </c>
    </row>
    <row r="2" spans="1:8">
      <c r="A2" s="8" t="s">
        <v>19</v>
      </c>
      <c r="B2" s="8" t="s">
        <v>40</v>
      </c>
      <c r="C2" s="8" t="s">
        <v>169</v>
      </c>
      <c r="D2" s="8" t="s">
        <v>170</v>
      </c>
      <c r="E2" s="8" t="s">
        <v>22</v>
      </c>
      <c r="F2" s="8" t="s">
        <v>46</v>
      </c>
      <c r="G2" s="8" t="s">
        <v>25</v>
      </c>
      <c r="H2" s="8" t="s">
        <v>26</v>
      </c>
    </row>
    <row r="3" spans="1:8">
      <c r="A3" s="9" t="s">
        <v>32</v>
      </c>
      <c r="B3" s="9" t="s">
        <v>55</v>
      </c>
      <c r="C3" s="10">
        <v>1340.48</v>
      </c>
      <c r="D3" s="10">
        <v>1128.68</v>
      </c>
      <c r="E3" s="11">
        <v>0.1876528333983061</v>
      </c>
      <c r="F3" s="11">
        <v>0.165999220328171</v>
      </c>
      <c r="G3" s="11">
        <v>-0.01811442928194196</v>
      </c>
      <c r="H3" s="12">
        <v>1233</v>
      </c>
    </row>
    <row r="4" spans="1:8">
      <c r="A4" s="9" t="s">
        <v>32</v>
      </c>
      <c r="B4" s="9" t="s">
        <v>73</v>
      </c>
      <c r="C4" s="10">
        <v>1028.403</v>
      </c>
      <c r="D4" s="10">
        <v>899.64</v>
      </c>
      <c r="E4" s="11">
        <v>0.14312725090036</v>
      </c>
      <c r="F4" s="11">
        <v>0.14312725090036</v>
      </c>
      <c r="G4" s="11">
        <v>0.07900849858356951</v>
      </c>
      <c r="H4" s="12">
        <v>998</v>
      </c>
    </row>
    <row r="5" spans="1:8">
      <c r="A5" s="9" t="s">
        <v>32</v>
      </c>
      <c r="B5" s="9" t="s">
        <v>80</v>
      </c>
      <c r="C5" s="10">
        <v>343.4700075930144</v>
      </c>
      <c r="D5" s="10">
        <v>311.0860941353062</v>
      </c>
      <c r="E5" s="11">
        <v>0.1040995212200741</v>
      </c>
      <c r="F5" s="11">
        <v>0.09131483715319666</v>
      </c>
      <c r="G5" s="11">
        <v>-0.07327455513931169</v>
      </c>
      <c r="H5" s="12">
        <v>302</v>
      </c>
    </row>
    <row r="6" spans="1:8">
      <c r="A6" s="9" t="s">
        <v>32</v>
      </c>
      <c r="B6" s="9" t="s">
        <v>88</v>
      </c>
      <c r="C6" s="10">
        <v>862.439555402773</v>
      </c>
      <c r="D6" s="10">
        <v>629.2170737274595</v>
      </c>
      <c r="E6" s="11">
        <v>0.3706550432487659</v>
      </c>
      <c r="F6" s="11">
        <v>0.3651799318000435</v>
      </c>
      <c r="G6" s="11">
        <v>0.1945679776529219</v>
      </c>
      <c r="H6" s="12">
        <v>891</v>
      </c>
    </row>
    <row r="7" spans="1:8">
      <c r="A7" s="9" t="s">
        <v>32</v>
      </c>
      <c r="B7" s="9" t="s">
        <v>94</v>
      </c>
      <c r="C7" s="10">
        <v>293.207</v>
      </c>
      <c r="D7" s="10">
        <v>313.15</v>
      </c>
      <c r="E7" s="11">
        <v>-0.06368513491936767</v>
      </c>
      <c r="F7" s="11">
        <v>-0.06368513491936767</v>
      </c>
      <c r="G7" s="11">
        <v>-0.1175640292533181</v>
      </c>
      <c r="H7" s="12">
        <v>288</v>
      </c>
    </row>
    <row r="8" spans="1:8">
      <c r="A8" s="9" t="s">
        <v>32</v>
      </c>
      <c r="B8" s="9" t="s">
        <v>99</v>
      </c>
      <c r="C8" s="10">
        <v>175.74</v>
      </c>
      <c r="D8" s="10">
        <v>188.18</v>
      </c>
      <c r="E8" s="11">
        <v>-0.06610691890742904</v>
      </c>
      <c r="F8" s="11">
        <v>-0.06610691890742904</v>
      </c>
      <c r="G8" s="11">
        <v>-0.1407197340113436</v>
      </c>
      <c r="H8" s="12">
        <v>179</v>
      </c>
    </row>
    <row r="9" spans="1:8">
      <c r="A9" s="9" t="s">
        <v>32</v>
      </c>
      <c r="B9" s="9" t="s">
        <v>102</v>
      </c>
      <c r="C9" s="10">
        <v>121.347</v>
      </c>
      <c r="D9" s="10">
        <v>124.47</v>
      </c>
      <c r="E9" s="11">
        <v>-0.02509038322487345</v>
      </c>
      <c r="F9" s="11">
        <v>-0.02509038322487345</v>
      </c>
      <c r="G9" s="11">
        <v>-0.2776104298130729</v>
      </c>
      <c r="H9" s="12">
        <v>114</v>
      </c>
    </row>
    <row r="10" spans="1:8">
      <c r="A10" s="9" t="s">
        <v>32</v>
      </c>
      <c r="B10" s="9" t="s">
        <v>105</v>
      </c>
      <c r="C10" s="10">
        <v>86.62799265819054</v>
      </c>
      <c r="D10" s="10">
        <v>113.9868579857852</v>
      </c>
      <c r="E10" s="11">
        <v>-0.2400177161739685</v>
      </c>
      <c r="F10" s="11">
        <v>-0.2392941176470589</v>
      </c>
      <c r="G10" s="11">
        <v>-0.1582979692788337</v>
      </c>
      <c r="H10" s="12">
        <v>78</v>
      </c>
    </row>
    <row r="11" spans="1:8">
      <c r="A11" s="9" t="s">
        <v>32</v>
      </c>
      <c r="B11" s="9" t="s">
        <v>109</v>
      </c>
      <c r="C11" s="10">
        <v>171.0075076466772</v>
      </c>
      <c r="D11" s="10">
        <v>136.1285339824003</v>
      </c>
      <c r="E11" s="11">
        <v>0.2562208865687652</v>
      </c>
      <c r="F11" s="11">
        <v>0.2688042637324852</v>
      </c>
      <c r="G11" s="11">
        <v>-0.01229406175136172</v>
      </c>
      <c r="H11" s="12">
        <v>180</v>
      </c>
    </row>
    <row r="12" spans="1:8">
      <c r="A12" s="9" t="s">
        <v>33</v>
      </c>
      <c r="B12" s="9" t="s">
        <v>113</v>
      </c>
      <c r="C12" s="10">
        <v>888.84657930565</v>
      </c>
      <c r="D12" s="10">
        <v>791.2583806085611</v>
      </c>
      <c r="E12" s="11">
        <v>0.1233329100691904</v>
      </c>
      <c r="F12" s="11">
        <v>0.1347265221878224</v>
      </c>
      <c r="G12" s="11">
        <v>-0.06545901551344668</v>
      </c>
      <c r="H12" s="12">
        <v>875</v>
      </c>
    </row>
    <row r="13" spans="1:8">
      <c r="A13" s="9" t="s">
        <v>33</v>
      </c>
      <c r="B13" s="9" t="s">
        <v>125</v>
      </c>
      <c r="C13" s="10">
        <v>140.0871627448565</v>
      </c>
      <c r="D13" s="10">
        <v>170.6487777981989</v>
      </c>
      <c r="E13" s="11">
        <v>-0.179090735062182</v>
      </c>
      <c r="F13" s="11">
        <v>-0.1835666846167655</v>
      </c>
      <c r="G13" s="11">
        <v>-0.2906304001996319</v>
      </c>
      <c r="H13" s="12">
        <v>136</v>
      </c>
    </row>
    <row r="14" spans="1:8">
      <c r="A14" s="9" t="s">
        <v>34</v>
      </c>
      <c r="B14" s="9" t="s">
        <v>129</v>
      </c>
      <c r="C14" s="10">
        <v>1088.40793135436</v>
      </c>
      <c r="D14" s="10">
        <v>1047.518582046884</v>
      </c>
      <c r="E14" s="11">
        <v>0.03903448588718783</v>
      </c>
      <c r="F14" s="11">
        <v>0.02465790809503798</v>
      </c>
      <c r="G14" s="11">
        <v>-0.2422410345069356</v>
      </c>
      <c r="H14" s="12">
        <v>959</v>
      </c>
    </row>
    <row r="15" spans="1:8">
      <c r="A15" s="9" t="s">
        <v>34</v>
      </c>
      <c r="B15" s="9" t="s">
        <v>137</v>
      </c>
      <c r="C15" s="10">
        <v>1315.942737088973</v>
      </c>
      <c r="D15" s="10">
        <v>806.3954898157129</v>
      </c>
      <c r="E15" s="11">
        <v>0.6318825609871748</v>
      </c>
      <c r="F15" s="11">
        <v>0.6197740240409555</v>
      </c>
      <c r="G15" s="11">
        <v>0.01682089423568223</v>
      </c>
      <c r="H15" s="12">
        <v>1140</v>
      </c>
    </row>
    <row r="16" spans="1:8">
      <c r="A16" s="9" t="s">
        <v>34</v>
      </c>
      <c r="B16" s="9" t="s">
        <v>145</v>
      </c>
      <c r="C16" s="10">
        <v>1706.28719558947</v>
      </c>
      <c r="D16" s="10">
        <v>1297.290404071074</v>
      </c>
      <c r="E16" s="11">
        <v>0.3152700353250968</v>
      </c>
      <c r="F16" s="11">
        <v>0.3125544165145344</v>
      </c>
      <c r="G16" s="11">
        <v>0.03621915382363983</v>
      </c>
      <c r="H16" s="12">
        <v>1307</v>
      </c>
    </row>
    <row r="17" spans="1:8">
      <c r="A17" s="9" t="s">
        <v>34</v>
      </c>
      <c r="B17" s="9" t="s">
        <v>153</v>
      </c>
      <c r="C17" s="10">
        <v>242.1689515202573</v>
      </c>
      <c r="D17" s="10">
        <v>199.4746600741656</v>
      </c>
      <c r="E17" s="11">
        <v>0.2140336593641405</v>
      </c>
      <c r="F17" s="11">
        <v>0.2246320681642138</v>
      </c>
      <c r="G17" s="11">
        <v>0.08366206940446098</v>
      </c>
      <c r="H17" s="12">
        <v>242</v>
      </c>
    </row>
    <row r="18" spans="1:8">
      <c r="A18" s="9" t="s">
        <v>34</v>
      </c>
      <c r="B18" s="9" t="s">
        <v>157</v>
      </c>
      <c r="C18" s="10">
        <v>141.3236272878536</v>
      </c>
      <c r="D18" s="10">
        <v>136.026323158779</v>
      </c>
      <c r="E18" s="11">
        <v>0.03894322809042738</v>
      </c>
      <c r="F18" s="11">
        <v>0.04912609366958298</v>
      </c>
      <c r="G18" s="11">
        <v>-0.1451097359057764</v>
      </c>
      <c r="H18" s="12">
        <v>135</v>
      </c>
    </row>
    <row r="19" spans="1:8">
      <c r="A19" s="9" t="s">
        <v>34</v>
      </c>
      <c r="B19" s="9" t="s">
        <v>161</v>
      </c>
      <c r="C19" s="10">
        <v>130.9350132625995</v>
      </c>
      <c r="D19" s="10">
        <v>122.8983978374102</v>
      </c>
      <c r="E19" s="11">
        <v>0.06539235308682723</v>
      </c>
      <c r="F19" s="11">
        <v>0.05928111587982832</v>
      </c>
      <c r="G19" s="11">
        <v>-0.1980388692579506</v>
      </c>
      <c r="H19" s="12">
        <v>147</v>
      </c>
    </row>
    <row r="20" spans="1:8">
      <c r="A20" s="9" t="s">
        <v>34</v>
      </c>
      <c r="B20" s="9" t="s">
        <v>165</v>
      </c>
      <c r="C20" s="10">
        <v>42.60864638223129</v>
      </c>
      <c r="D20" s="10">
        <v>53.96626396170504</v>
      </c>
      <c r="E20" s="11">
        <v>-0.2104577331410827</v>
      </c>
      <c r="F20" s="11">
        <v>-0.2059134107708553</v>
      </c>
      <c r="G20" s="11">
        <v>-0.1477742520398913</v>
      </c>
      <c r="H20" s="12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cols>
    <col min="2" max="2" width="28.7109375" customWidth="1"/>
    <col min="3" max="9" width="10.7109375" customWidth="1"/>
  </cols>
  <sheetData>
    <row r="1" spans="1:9">
      <c r="A1" s="7" t="s">
        <v>171</v>
      </c>
    </row>
    <row r="2" spans="1:9">
      <c r="A2" s="8" t="s">
        <v>38</v>
      </c>
      <c r="B2" s="8" t="s">
        <v>39</v>
      </c>
      <c r="C2" s="8" t="s">
        <v>172</v>
      </c>
      <c r="D2" s="8" t="s">
        <v>173</v>
      </c>
      <c r="E2" s="8" t="s">
        <v>174</v>
      </c>
      <c r="F2" s="8" t="s">
        <v>175</v>
      </c>
      <c r="G2" s="8" t="s">
        <v>176</v>
      </c>
      <c r="H2" s="8" t="s">
        <v>177</v>
      </c>
      <c r="I2" s="8" t="s">
        <v>178</v>
      </c>
    </row>
    <row r="3" spans="1:9">
      <c r="A3" s="9" t="s">
        <v>53</v>
      </c>
      <c r="B3" s="9" t="s">
        <v>54</v>
      </c>
      <c r="C3" s="12">
        <v>73853</v>
      </c>
      <c r="D3" s="12">
        <v>115546</v>
      </c>
      <c r="E3" s="12">
        <v>84810</v>
      </c>
      <c r="F3" s="12">
        <v>143750</v>
      </c>
      <c r="G3" s="12">
        <v>99360</v>
      </c>
      <c r="H3" s="12">
        <v>83600</v>
      </c>
      <c r="I3" s="12">
        <v>74490</v>
      </c>
    </row>
    <row r="4" spans="1:9">
      <c r="A4" s="9" t="s">
        <v>58</v>
      </c>
      <c r="B4" s="9" t="s">
        <v>59</v>
      </c>
      <c r="C4" s="12">
        <v>30400</v>
      </c>
      <c r="D4" s="12">
        <v>33650</v>
      </c>
      <c r="E4" s="12">
        <v>33470</v>
      </c>
      <c r="F4" s="12">
        <v>20989</v>
      </c>
      <c r="G4" s="12">
        <v>22720</v>
      </c>
      <c r="H4" s="12">
        <v>39640</v>
      </c>
      <c r="I4" s="12">
        <v>39930</v>
      </c>
    </row>
    <row r="5" spans="1:9">
      <c r="A5" s="9" t="s">
        <v>60</v>
      </c>
      <c r="B5" s="9" t="s">
        <v>61</v>
      </c>
      <c r="C5" s="12">
        <v>14580</v>
      </c>
      <c r="D5" s="12">
        <v>18720</v>
      </c>
      <c r="E5" s="12">
        <v>29390</v>
      </c>
      <c r="F5" s="12">
        <v>27963</v>
      </c>
      <c r="G5" s="12">
        <v>36220</v>
      </c>
      <c r="H5" s="12">
        <v>56370</v>
      </c>
      <c r="I5" s="12">
        <v>23273</v>
      </c>
    </row>
    <row r="6" spans="1:9">
      <c r="A6" s="9" t="s">
        <v>62</v>
      </c>
      <c r="B6" s="9" t="s">
        <v>63</v>
      </c>
      <c r="C6" s="12">
        <v>33040</v>
      </c>
      <c r="D6" s="12">
        <v>26990</v>
      </c>
      <c r="E6" s="12">
        <v>27560</v>
      </c>
      <c r="F6" s="12">
        <v>30770</v>
      </c>
      <c r="G6" s="12">
        <v>43981</v>
      </c>
      <c r="H6" s="12">
        <v>26790</v>
      </c>
      <c r="I6" s="12">
        <v>24185</v>
      </c>
    </row>
    <row r="7" spans="1:9">
      <c r="A7" s="9" t="s">
        <v>64</v>
      </c>
      <c r="B7" s="9" t="s">
        <v>65</v>
      </c>
      <c r="C7" s="9" t="s">
        <v>179</v>
      </c>
      <c r="D7" s="9" t="s">
        <v>179</v>
      </c>
      <c r="E7" s="9" t="s">
        <v>179</v>
      </c>
      <c r="F7" s="9" t="s">
        <v>179</v>
      </c>
      <c r="G7" s="9" t="s">
        <v>179</v>
      </c>
      <c r="H7" s="9" t="s">
        <v>179</v>
      </c>
      <c r="I7" s="9" t="s">
        <v>179</v>
      </c>
    </row>
    <row r="8" spans="1:9">
      <c r="A8" s="9" t="s">
        <v>69</v>
      </c>
      <c r="B8" s="9" t="s">
        <v>70</v>
      </c>
      <c r="C8" s="9" t="s">
        <v>179</v>
      </c>
      <c r="D8" s="9" t="s">
        <v>179</v>
      </c>
      <c r="E8" s="9" t="s">
        <v>179</v>
      </c>
      <c r="F8" s="9" t="s">
        <v>179</v>
      </c>
      <c r="G8" s="12">
        <v>6180</v>
      </c>
      <c r="H8" s="12">
        <v>11010</v>
      </c>
      <c r="I8" s="12">
        <v>7250</v>
      </c>
    </row>
    <row r="9" spans="1:9">
      <c r="A9" s="9" t="s">
        <v>71</v>
      </c>
      <c r="B9" s="9" t="s">
        <v>72</v>
      </c>
      <c r="C9" s="12">
        <v>91378</v>
      </c>
      <c r="D9" s="12">
        <v>75580</v>
      </c>
      <c r="E9" s="12">
        <v>78200</v>
      </c>
      <c r="F9" s="12">
        <v>107965</v>
      </c>
      <c r="G9" s="12">
        <v>76945</v>
      </c>
      <c r="H9" s="12">
        <v>123050</v>
      </c>
      <c r="I9" s="9" t="s">
        <v>179</v>
      </c>
    </row>
    <row r="10" spans="1:9">
      <c r="A10" s="9" t="s">
        <v>74</v>
      </c>
      <c r="B10" s="9" t="s">
        <v>75</v>
      </c>
      <c r="C10" s="12">
        <v>56359</v>
      </c>
      <c r="D10" s="12">
        <v>62951</v>
      </c>
      <c r="E10" s="12">
        <v>47870</v>
      </c>
      <c r="F10" s="12">
        <v>67845</v>
      </c>
      <c r="G10" s="12">
        <v>42420</v>
      </c>
      <c r="H10" s="12">
        <v>90460</v>
      </c>
      <c r="I10" s="12">
        <v>47560</v>
      </c>
    </row>
    <row r="11" spans="1:9">
      <c r="A11" s="9" t="s">
        <v>76</v>
      </c>
      <c r="B11" s="9" t="s">
        <v>77</v>
      </c>
      <c r="C11" s="12">
        <v>2640</v>
      </c>
      <c r="D11" s="12">
        <v>16050</v>
      </c>
      <c r="E11" s="12">
        <v>6130</v>
      </c>
      <c r="F11" s="12">
        <v>10260</v>
      </c>
      <c r="G11" s="12">
        <v>8510</v>
      </c>
      <c r="H11" s="12">
        <v>16230</v>
      </c>
      <c r="I11" s="9" t="s">
        <v>179</v>
      </c>
    </row>
    <row r="12" spans="1:9">
      <c r="A12" s="9" t="s">
        <v>78</v>
      </c>
      <c r="B12" s="9" t="s">
        <v>79</v>
      </c>
      <c r="C12" s="12">
        <v>11790.86668836099</v>
      </c>
      <c r="D12" s="12">
        <v>17192.75409480421</v>
      </c>
      <c r="E12" s="12">
        <v>8037.748128864301</v>
      </c>
      <c r="F12" s="12">
        <v>31212.71287558303</v>
      </c>
      <c r="G12" s="12">
        <v>30100.8786202408</v>
      </c>
      <c r="H12" s="12">
        <v>28712.44169649636</v>
      </c>
      <c r="I12" s="9" t="s">
        <v>179</v>
      </c>
    </row>
    <row r="13" spans="1:9">
      <c r="A13" s="9" t="s">
        <v>82</v>
      </c>
      <c r="B13" s="9" t="s">
        <v>83</v>
      </c>
      <c r="C13" s="12">
        <v>17722.09567198178</v>
      </c>
      <c r="D13" s="12">
        <v>35795.63944028637</v>
      </c>
      <c r="E13" s="12">
        <v>20240.80702896192</v>
      </c>
      <c r="F13" s="12">
        <v>27358.71569584553</v>
      </c>
      <c r="G13" s="12">
        <v>33496.04078533463</v>
      </c>
      <c r="H13" s="12">
        <v>36218.67881548974</v>
      </c>
      <c r="I13" s="9" t="s">
        <v>179</v>
      </c>
    </row>
    <row r="14" spans="1:9">
      <c r="A14" s="9" t="s">
        <v>84</v>
      </c>
      <c r="B14" s="9" t="s">
        <v>85</v>
      </c>
      <c r="C14" s="12">
        <v>1985.03091441588</v>
      </c>
      <c r="D14" s="12">
        <v>3167.371732292006</v>
      </c>
      <c r="E14" s="12">
        <v>7799.110532595726</v>
      </c>
      <c r="F14" s="12">
        <v>3872.437357630979</v>
      </c>
      <c r="G14" s="12">
        <v>7875.040676863</v>
      </c>
      <c r="H14" s="12">
        <v>10771.23332248617</v>
      </c>
      <c r="I14" s="12">
        <v>10120.40351448096</v>
      </c>
    </row>
    <row r="15" spans="1:9">
      <c r="A15" s="9" t="s">
        <v>86</v>
      </c>
      <c r="B15" s="9" t="s">
        <v>87</v>
      </c>
      <c r="C15" s="12">
        <v>36793.85814140025</v>
      </c>
      <c r="D15" s="12">
        <v>49868.22504869944</v>
      </c>
      <c r="E15" s="12">
        <v>67481.37962644665</v>
      </c>
      <c r="F15" s="12">
        <v>241106.9095909247</v>
      </c>
      <c r="G15" s="12">
        <v>66083.41927351896</v>
      </c>
      <c r="H15" s="12">
        <v>65291.62369657385</v>
      </c>
      <c r="I15" s="12">
        <v>71087.42981551506</v>
      </c>
    </row>
    <row r="16" spans="1:9">
      <c r="A16" s="9" t="s">
        <v>90</v>
      </c>
      <c r="B16" s="9" t="s">
        <v>91</v>
      </c>
      <c r="C16" s="12">
        <v>46843.13051449524</v>
      </c>
      <c r="D16" s="12">
        <v>23928.03941789848</v>
      </c>
      <c r="E16" s="12">
        <v>27546.69416752607</v>
      </c>
      <c r="F16" s="12">
        <v>47622.32153088117</v>
      </c>
      <c r="G16" s="12">
        <v>33092.70081356709</v>
      </c>
      <c r="H16" s="12">
        <v>37292.31121805889</v>
      </c>
      <c r="I16" s="12">
        <v>48401.5125472671</v>
      </c>
    </row>
    <row r="17" spans="1:9">
      <c r="A17" s="9" t="s">
        <v>92</v>
      </c>
      <c r="B17" s="9" t="s">
        <v>93</v>
      </c>
      <c r="C17" s="12">
        <v>14410</v>
      </c>
      <c r="D17" s="12">
        <v>18000</v>
      </c>
      <c r="E17" s="12">
        <v>26210</v>
      </c>
      <c r="F17" s="12">
        <v>43470</v>
      </c>
      <c r="G17" s="12">
        <v>28463</v>
      </c>
      <c r="H17" s="12">
        <v>34020</v>
      </c>
      <c r="I17" s="9" t="s">
        <v>179</v>
      </c>
    </row>
    <row r="18" spans="1:9">
      <c r="A18" s="9" t="s">
        <v>95</v>
      </c>
      <c r="B18" s="9" t="s">
        <v>96</v>
      </c>
      <c r="C18" s="12">
        <v>17415</v>
      </c>
      <c r="D18" s="12">
        <v>14389</v>
      </c>
      <c r="E18" s="12">
        <v>13740</v>
      </c>
      <c r="F18" s="12">
        <v>23590</v>
      </c>
      <c r="G18" s="12">
        <v>29400</v>
      </c>
      <c r="H18" s="12">
        <v>30100</v>
      </c>
      <c r="I18" s="9" t="s">
        <v>179</v>
      </c>
    </row>
    <row r="19" spans="1:9">
      <c r="A19" s="9" t="s">
        <v>97</v>
      </c>
      <c r="B19" s="9" t="s">
        <v>98</v>
      </c>
      <c r="C19" s="12">
        <v>14120</v>
      </c>
      <c r="D19" s="12">
        <v>24410</v>
      </c>
      <c r="E19" s="12">
        <v>18720</v>
      </c>
      <c r="F19" s="12">
        <v>26680</v>
      </c>
      <c r="G19" s="12">
        <v>23840</v>
      </c>
      <c r="H19" s="12">
        <v>39210</v>
      </c>
      <c r="I19" s="12">
        <v>28760</v>
      </c>
    </row>
    <row r="20" spans="1:9">
      <c r="A20" s="9" t="s">
        <v>100</v>
      </c>
      <c r="B20" s="9" t="s">
        <v>101</v>
      </c>
      <c r="C20" s="12">
        <v>16970</v>
      </c>
      <c r="D20" s="12">
        <v>23710</v>
      </c>
      <c r="E20" s="12">
        <v>9362</v>
      </c>
      <c r="F20" s="12">
        <v>14950</v>
      </c>
      <c r="G20" s="12">
        <v>21020</v>
      </c>
      <c r="H20" s="12">
        <v>19355</v>
      </c>
      <c r="I20" s="12">
        <v>15980</v>
      </c>
    </row>
    <row r="21" spans="1:9">
      <c r="A21" s="9" t="s">
        <v>103</v>
      </c>
      <c r="B21" s="9" t="s">
        <v>104</v>
      </c>
      <c r="C21" s="12">
        <v>12367.19765276457</v>
      </c>
      <c r="D21" s="12">
        <v>16331.50681260969</v>
      </c>
      <c r="E21" s="12">
        <v>11695.98478048258</v>
      </c>
      <c r="F21" s="12">
        <v>14214.70773435511</v>
      </c>
      <c r="G21" s="12">
        <v>12217.14607253386</v>
      </c>
      <c r="H21" s="12">
        <v>19801.44960544473</v>
      </c>
      <c r="I21" s="9" t="s">
        <v>179</v>
      </c>
    </row>
    <row r="22" spans="1:9">
      <c r="A22" s="9" t="s">
        <v>107</v>
      </c>
      <c r="B22" s="9" t="s">
        <v>108</v>
      </c>
      <c r="C22" s="12">
        <v>10508.38817313931</v>
      </c>
      <c r="D22" s="12">
        <v>16950.13439614422</v>
      </c>
      <c r="E22" s="12">
        <v>22349.15191398647</v>
      </c>
      <c r="F22" s="12">
        <v>17749.55973676893</v>
      </c>
      <c r="G22" s="12">
        <v>30899.52729632033</v>
      </c>
      <c r="H22" s="12">
        <v>37352.85939382705</v>
      </c>
      <c r="I22" s="12">
        <v>35197.88673649087</v>
      </c>
    </row>
    <row r="23" spans="1:9">
      <c r="A23" s="9" t="s">
        <v>111</v>
      </c>
      <c r="B23" s="9" t="s">
        <v>112</v>
      </c>
      <c r="C23" s="12">
        <v>44460.51735874745</v>
      </c>
      <c r="D23" s="12">
        <v>42605.51395507147</v>
      </c>
      <c r="E23" s="12">
        <v>58245.40503744043</v>
      </c>
      <c r="F23" s="12">
        <v>56075.56160653506</v>
      </c>
      <c r="G23" s="12">
        <v>56479.74812797822</v>
      </c>
      <c r="H23" s="12">
        <v>98644.91150442477</v>
      </c>
      <c r="I23" s="12">
        <v>61657.59019741321</v>
      </c>
    </row>
    <row r="24" spans="1:9">
      <c r="A24" s="9" t="s">
        <v>115</v>
      </c>
      <c r="B24" s="9" t="s">
        <v>116</v>
      </c>
      <c r="C24" s="12">
        <v>19915.75901974132</v>
      </c>
      <c r="D24" s="12">
        <v>10742.8522804629</v>
      </c>
      <c r="E24" s="12">
        <v>42622.53233492171</v>
      </c>
      <c r="F24" s="12">
        <v>31930.73519400953</v>
      </c>
      <c r="G24" s="12">
        <v>21358.06671204901</v>
      </c>
      <c r="H24" s="12">
        <v>38091.38869979578</v>
      </c>
      <c r="I24" s="12">
        <v>44966.81415929204</v>
      </c>
    </row>
    <row r="25" spans="1:9">
      <c r="A25" s="9" t="s">
        <v>117</v>
      </c>
      <c r="B25" s="9" t="s">
        <v>118</v>
      </c>
      <c r="C25" s="12">
        <v>4658.781484002723</v>
      </c>
      <c r="D25" s="12">
        <v>4573.689584751532</v>
      </c>
      <c r="E25" s="12">
        <v>11636.31722260041</v>
      </c>
      <c r="F25" s="12">
        <v>16592.9203539823</v>
      </c>
      <c r="G25" s="12">
        <v>5956.43294758339</v>
      </c>
      <c r="H25" s="12">
        <v>17677.84206943499</v>
      </c>
      <c r="I25" s="12">
        <v>10806.67120490129</v>
      </c>
    </row>
    <row r="26" spans="1:9">
      <c r="A26" s="9" t="s">
        <v>119</v>
      </c>
      <c r="B26" s="9" t="s">
        <v>120</v>
      </c>
      <c r="C26" s="12">
        <v>15337.81484002723</v>
      </c>
      <c r="D26" s="12">
        <v>19771.10279101429</v>
      </c>
      <c r="E26" s="12">
        <v>11615.04424778761</v>
      </c>
      <c r="F26" s="12">
        <v>31441.45677331518</v>
      </c>
      <c r="G26" s="12">
        <v>23272.63444520082</v>
      </c>
      <c r="H26" s="12">
        <v>24953.19945541184</v>
      </c>
      <c r="I26" s="12">
        <v>33996.3410483322</v>
      </c>
    </row>
    <row r="27" spans="1:9">
      <c r="A27" s="9" t="s">
        <v>121</v>
      </c>
      <c r="B27" s="9" t="s">
        <v>122</v>
      </c>
      <c r="C27" s="12">
        <v>2425.119128658951</v>
      </c>
      <c r="D27" s="12">
        <v>297.8216473791695</v>
      </c>
      <c r="E27" s="12">
        <v>7913.546630360789</v>
      </c>
      <c r="F27" s="12">
        <v>3829.135466303608</v>
      </c>
      <c r="G27" s="12">
        <v>6528.675970047651</v>
      </c>
      <c r="H27" s="12">
        <v>5552.246426140231</v>
      </c>
      <c r="I27" s="12">
        <v>2212.389380530974</v>
      </c>
    </row>
    <row r="28" spans="1:9">
      <c r="A28" s="9" t="s">
        <v>123</v>
      </c>
      <c r="B28" s="9" t="s">
        <v>124</v>
      </c>
      <c r="C28" s="12">
        <v>13120.61106320069</v>
      </c>
      <c r="D28" s="12">
        <v>26852.59332265615</v>
      </c>
      <c r="E28" s="12">
        <v>23808.05716397684</v>
      </c>
      <c r="F28" s="12">
        <v>26395.21990883331</v>
      </c>
      <c r="G28" s="12">
        <v>22884.07046938524</v>
      </c>
      <c r="H28" s="12">
        <v>14414.19243562893</v>
      </c>
      <c r="I28" s="12">
        <v>12612.41838117531</v>
      </c>
    </row>
    <row r="29" spans="1:9">
      <c r="A29" s="9" t="s">
        <v>127</v>
      </c>
      <c r="B29" s="9" t="s">
        <v>128</v>
      </c>
      <c r="C29" s="12">
        <v>86887.17532467534</v>
      </c>
      <c r="D29" s="12">
        <v>71127.08719851577</v>
      </c>
      <c r="E29" s="12">
        <v>54881.72541743971</v>
      </c>
      <c r="F29" s="12">
        <v>60552.52782931355</v>
      </c>
      <c r="G29" s="12">
        <v>99698.51576994435</v>
      </c>
      <c r="H29" s="12">
        <v>161444.8051948052</v>
      </c>
      <c r="I29" s="12">
        <v>65804.73098330242</v>
      </c>
    </row>
    <row r="30" spans="1:9">
      <c r="A30" s="9" t="s">
        <v>131</v>
      </c>
      <c r="B30" s="9" t="s">
        <v>132</v>
      </c>
      <c r="C30" s="12">
        <v>15596.01113172542</v>
      </c>
      <c r="D30" s="12">
        <v>33499.53617810761</v>
      </c>
      <c r="E30" s="12">
        <v>25921.84601113173</v>
      </c>
      <c r="F30" s="12">
        <v>27197.35621521336</v>
      </c>
      <c r="G30" s="12">
        <v>42628.13079777366</v>
      </c>
      <c r="H30" s="12">
        <v>65561.22448979592</v>
      </c>
      <c r="I30" s="12">
        <v>43147.61131725417</v>
      </c>
    </row>
    <row r="31" spans="1:9">
      <c r="A31" s="9" t="s">
        <v>133</v>
      </c>
      <c r="B31" s="9" t="s">
        <v>134</v>
      </c>
      <c r="C31" s="12">
        <v>31151.43784786642</v>
      </c>
      <c r="D31" s="12">
        <v>39700.25510204082</v>
      </c>
      <c r="E31" s="12">
        <v>27783.51113172542</v>
      </c>
      <c r="F31" s="12">
        <v>37355.05565862709</v>
      </c>
      <c r="G31" s="12">
        <v>24205.70500927644</v>
      </c>
      <c r="H31" s="12">
        <v>47930.19480519481</v>
      </c>
      <c r="I31" s="12">
        <v>26333.4879406308</v>
      </c>
    </row>
    <row r="32" spans="1:9">
      <c r="A32" s="9" t="s">
        <v>135</v>
      </c>
      <c r="B32" s="9" t="s">
        <v>136</v>
      </c>
      <c r="C32" s="12">
        <v>55253.57893193922</v>
      </c>
      <c r="D32" s="12">
        <v>83359.7987003469</v>
      </c>
      <c r="E32" s="12">
        <v>117840.3039038452</v>
      </c>
      <c r="F32" s="12">
        <v>145927.5907558509</v>
      </c>
      <c r="G32" s="12">
        <v>55497.87462744907</v>
      </c>
      <c r="H32" s="12">
        <v>121429.0076708849</v>
      </c>
      <c r="I32" s="12">
        <v>88713.53886744517</v>
      </c>
    </row>
    <row r="33" spans="1:9">
      <c r="A33" s="9" t="s">
        <v>139</v>
      </c>
      <c r="B33" s="9" t="s">
        <v>140</v>
      </c>
      <c r="C33" s="12">
        <v>40681.34069477696</v>
      </c>
      <c r="D33" s="12">
        <v>57366.73669809938</v>
      </c>
      <c r="E33" s="12">
        <v>28497.09288122343</v>
      </c>
      <c r="F33" s="12">
        <v>73951.97146626277</v>
      </c>
      <c r="G33" s="12">
        <v>82639.12639859287</v>
      </c>
      <c r="H33" s="12">
        <v>90433.38056383446</v>
      </c>
      <c r="I33" s="12">
        <v>77227.97674304979</v>
      </c>
    </row>
    <row r="34" spans="1:9">
      <c r="A34" s="9" t="s">
        <v>141</v>
      </c>
      <c r="B34" s="9" t="s">
        <v>142</v>
      </c>
      <c r="C34" s="12">
        <v>20636.87887819417</v>
      </c>
      <c r="D34" s="12">
        <v>19483.8031953877</v>
      </c>
      <c r="E34" s="12">
        <v>25150.24185273856</v>
      </c>
      <c r="F34" s="12">
        <v>28472.66331167245</v>
      </c>
      <c r="G34" s="12">
        <v>29034.54341134509</v>
      </c>
      <c r="H34" s="12">
        <v>37560.46318463869</v>
      </c>
      <c r="I34" s="12">
        <v>36784.82435139493</v>
      </c>
    </row>
    <row r="35" spans="1:9">
      <c r="A35" s="9" t="s">
        <v>143</v>
      </c>
      <c r="B35" s="9" t="s">
        <v>144</v>
      </c>
      <c r="C35" s="12">
        <v>97278.71286526222</v>
      </c>
      <c r="D35" s="12">
        <v>111322.0636021761</v>
      </c>
      <c r="E35" s="12">
        <v>77623.62018815341</v>
      </c>
      <c r="F35" s="12">
        <v>81356.26224640063</v>
      </c>
      <c r="G35" s="12">
        <v>127332.1406404031</v>
      </c>
      <c r="H35" s="12">
        <v>144544.6468777003</v>
      </c>
      <c r="I35" s="12">
        <v>80531.11346404275</v>
      </c>
    </row>
    <row r="36" spans="1:9">
      <c r="A36" s="9" t="s">
        <v>147</v>
      </c>
      <c r="B36" s="9" t="s">
        <v>148</v>
      </c>
      <c r="C36" s="12">
        <v>68506.82147334088</v>
      </c>
      <c r="D36" s="12">
        <v>77391.16677011453</v>
      </c>
      <c r="E36" s="12">
        <v>68557.93688463738</v>
      </c>
      <c r="F36" s="12">
        <v>68652.86550561662</v>
      </c>
      <c r="G36" s="12">
        <v>82355.44683388709</v>
      </c>
      <c r="H36" s="12">
        <v>90401.25597867758</v>
      </c>
      <c r="I36" s="12">
        <v>127798.2645100831</v>
      </c>
    </row>
    <row r="37" spans="1:9">
      <c r="A37" s="9" t="s">
        <v>149</v>
      </c>
      <c r="B37" s="9" t="s">
        <v>150</v>
      </c>
      <c r="C37" s="12">
        <v>57874.81592366766</v>
      </c>
      <c r="D37" s="12">
        <v>48759.23424245744</v>
      </c>
      <c r="E37" s="12">
        <v>47902.44258643981</v>
      </c>
      <c r="F37" s="12">
        <v>40624.58164469921</v>
      </c>
      <c r="G37" s="12">
        <v>62656.54094709556</v>
      </c>
      <c r="H37" s="12">
        <v>54428.1767619604</v>
      </c>
      <c r="I37" s="12">
        <v>90389.08564265459</v>
      </c>
    </row>
    <row r="38" spans="1:9">
      <c r="A38" s="9" t="s">
        <v>151</v>
      </c>
      <c r="B38" s="9" t="s">
        <v>152</v>
      </c>
      <c r="C38" s="12">
        <v>33260.75777634329</v>
      </c>
      <c r="D38" s="12">
        <v>32691.82376174794</v>
      </c>
      <c r="E38" s="12">
        <v>30470.79289707764</v>
      </c>
      <c r="F38" s="12">
        <v>35974.13538441339</v>
      </c>
      <c r="G38" s="12">
        <v>21652.31567084979</v>
      </c>
      <c r="H38" s="12">
        <v>54836.48617599755</v>
      </c>
      <c r="I38" s="12">
        <v>33282.63985382772</v>
      </c>
    </row>
    <row r="39" spans="1:9">
      <c r="A39" s="9" t="s">
        <v>155</v>
      </c>
      <c r="B39" s="9" t="s">
        <v>156</v>
      </c>
      <c r="C39" s="12">
        <v>21029.3954520244</v>
      </c>
      <c r="D39" s="12">
        <v>17903.49417637271</v>
      </c>
      <c r="E39" s="12">
        <v>17792.84525790349</v>
      </c>
      <c r="F39" s="12">
        <v>17542.98391569606</v>
      </c>
      <c r="G39" s="12">
        <v>12756.51691625069</v>
      </c>
      <c r="H39" s="12">
        <v>29170.8264004437</v>
      </c>
      <c r="I39" s="12">
        <v>25127.56516916251</v>
      </c>
    </row>
    <row r="40" spans="1:9">
      <c r="A40" s="9" t="s">
        <v>159</v>
      </c>
      <c r="B40" s="9" t="s">
        <v>160</v>
      </c>
      <c r="C40" s="12">
        <v>18335.54376657825</v>
      </c>
      <c r="D40" s="12">
        <v>11870.02652519894</v>
      </c>
      <c r="E40" s="12">
        <v>22181.6976127321</v>
      </c>
      <c r="F40" s="12">
        <v>13395.22546419098</v>
      </c>
      <c r="G40" s="12">
        <v>22380.63660477454</v>
      </c>
      <c r="H40" s="12">
        <v>25629.97347480106</v>
      </c>
      <c r="I40" s="12">
        <v>17141.90981432361</v>
      </c>
    </row>
    <row r="41" spans="1:9">
      <c r="A41" s="9" t="s">
        <v>163</v>
      </c>
      <c r="B41" s="9" t="s">
        <v>164</v>
      </c>
      <c r="C41" s="12">
        <v>9207.320528075246</v>
      </c>
      <c r="D41" s="12">
        <v>7025.893818346649</v>
      </c>
      <c r="E41" s="12">
        <v>6430.959261147941</v>
      </c>
      <c r="F41" s="12">
        <v>3937.900164315259</v>
      </c>
      <c r="G41" s="12">
        <v>3172.984305059777</v>
      </c>
      <c r="H41" s="12">
        <v>7252.535554422348</v>
      </c>
      <c r="I41" s="12">
        <v>5581.052750864072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2" max="2" width="26.7109375" customWidth="1"/>
    <col min="3" max="6" width="13.7109375" customWidth="1"/>
  </cols>
  <sheetData>
    <row r="1" spans="1:6">
      <c r="A1" s="7" t="s">
        <v>180</v>
      </c>
    </row>
    <row r="2" spans="1:6">
      <c r="A2" s="8" t="s">
        <v>181</v>
      </c>
      <c r="B2" s="8" t="s">
        <v>182</v>
      </c>
      <c r="C2" s="8" t="s">
        <v>183</v>
      </c>
      <c r="D2" s="8" t="s">
        <v>184</v>
      </c>
      <c r="E2" s="8" t="s">
        <v>185</v>
      </c>
      <c r="F2" s="8" t="s">
        <v>186</v>
      </c>
    </row>
    <row r="3" spans="1:6">
      <c r="A3" s="9">
        <v>1</v>
      </c>
      <c r="B3" s="9" t="s">
        <v>187</v>
      </c>
      <c r="C3" s="9" t="s">
        <v>188</v>
      </c>
      <c r="D3" s="12">
        <v>929233.4464301532</v>
      </c>
      <c r="E3" s="12">
        <v>587</v>
      </c>
      <c r="F3" s="12">
        <v>15</v>
      </c>
    </row>
    <row r="4" spans="1:6">
      <c r="A4" s="9">
        <v>2</v>
      </c>
      <c r="B4" s="9" t="s">
        <v>189</v>
      </c>
      <c r="C4" s="9" t="s">
        <v>188</v>
      </c>
      <c r="D4" s="12">
        <v>828411.09672601</v>
      </c>
      <c r="E4" s="12">
        <v>566</v>
      </c>
      <c r="F4" s="12">
        <v>21</v>
      </c>
    </row>
    <row r="5" spans="1:6">
      <c r="A5" s="9">
        <v>3</v>
      </c>
      <c r="B5" s="9" t="s">
        <v>190</v>
      </c>
      <c r="C5" s="9" t="s">
        <v>188</v>
      </c>
      <c r="D5" s="12">
        <v>576278.1875412227</v>
      </c>
      <c r="E5" s="12">
        <v>283</v>
      </c>
      <c r="F5" s="12">
        <v>14</v>
      </c>
    </row>
    <row r="6" spans="1:6">
      <c r="A6" s="9">
        <v>4</v>
      </c>
      <c r="B6" s="9" t="s">
        <v>191</v>
      </c>
      <c r="C6" s="9" t="s">
        <v>188</v>
      </c>
      <c r="D6" s="12">
        <v>521367.0551764583</v>
      </c>
      <c r="E6" s="12">
        <v>387</v>
      </c>
      <c r="F6" s="12">
        <v>16</v>
      </c>
    </row>
    <row r="7" spans="1:6">
      <c r="A7" s="9">
        <v>5</v>
      </c>
      <c r="B7" s="9" t="s">
        <v>192</v>
      </c>
      <c r="C7" s="9" t="s">
        <v>188</v>
      </c>
      <c r="D7" s="12">
        <v>495576.6232499107</v>
      </c>
      <c r="E7" s="12">
        <v>300</v>
      </c>
      <c r="F7" s="12">
        <v>10</v>
      </c>
    </row>
    <row r="8" spans="1:6">
      <c r="A8" s="9">
        <v>6</v>
      </c>
      <c r="B8" s="9" t="s">
        <v>193</v>
      </c>
      <c r="C8" s="9" t="s">
        <v>188</v>
      </c>
      <c r="D8" s="12">
        <v>491984.2392378034</v>
      </c>
      <c r="E8" s="12">
        <v>308</v>
      </c>
      <c r="F8" s="12">
        <v>14</v>
      </c>
    </row>
    <row r="9" spans="1:6">
      <c r="A9" s="9">
        <v>7</v>
      </c>
      <c r="B9" s="9" t="s">
        <v>194</v>
      </c>
      <c r="C9" s="9" t="s">
        <v>195</v>
      </c>
      <c r="D9" s="12">
        <v>443101.4492345846</v>
      </c>
      <c r="E9" s="12">
        <v>370</v>
      </c>
      <c r="F9" s="12">
        <v>4</v>
      </c>
    </row>
    <row r="10" spans="1:6">
      <c r="A10" s="9">
        <v>8</v>
      </c>
      <c r="B10" s="9" t="s">
        <v>196</v>
      </c>
      <c r="C10" s="9" t="s">
        <v>188</v>
      </c>
      <c r="D10" s="12">
        <v>442839.7417287859</v>
      </c>
      <c r="E10" s="12">
        <v>300</v>
      </c>
      <c r="F10" s="12">
        <v>9</v>
      </c>
    </row>
    <row r="11" spans="1:6">
      <c r="A11" s="9">
        <v>9</v>
      </c>
      <c r="B11" s="9" t="s">
        <v>197</v>
      </c>
      <c r="C11" s="9" t="s">
        <v>188</v>
      </c>
      <c r="D11" s="12">
        <v>418048.7400802008</v>
      </c>
      <c r="E11" s="12">
        <v>216</v>
      </c>
      <c r="F11" s="12">
        <v>3</v>
      </c>
    </row>
    <row r="12" spans="1:6">
      <c r="A12" s="9">
        <v>10</v>
      </c>
      <c r="B12" s="9" t="s">
        <v>198</v>
      </c>
      <c r="C12" s="9" t="s">
        <v>188</v>
      </c>
      <c r="D12" s="12">
        <v>376189.8646735607</v>
      </c>
      <c r="E12" s="12">
        <v>213</v>
      </c>
      <c r="F12" s="12">
        <v>6</v>
      </c>
    </row>
    <row r="13" spans="1:6">
      <c r="A13" s="9">
        <v>11</v>
      </c>
      <c r="B13" s="9" t="s">
        <v>199</v>
      </c>
      <c r="C13" s="9" t="s">
        <v>195</v>
      </c>
      <c r="D13" s="12">
        <v>346986.8095241319</v>
      </c>
      <c r="E13" s="12">
        <v>429</v>
      </c>
      <c r="F13" s="12">
        <v>9</v>
      </c>
    </row>
    <row r="14" spans="1:6">
      <c r="A14" s="9">
        <v>12</v>
      </c>
      <c r="B14" s="9" t="s">
        <v>200</v>
      </c>
      <c r="C14" s="9" t="s">
        <v>188</v>
      </c>
      <c r="D14" s="12">
        <v>315788.3016030896</v>
      </c>
      <c r="E14" s="12">
        <v>185</v>
      </c>
      <c r="F14" s="12">
        <v>5</v>
      </c>
    </row>
    <row r="15" spans="1:6">
      <c r="A15" s="9">
        <v>13</v>
      </c>
      <c r="B15" s="9" t="s">
        <v>201</v>
      </c>
      <c r="C15" s="9" t="s">
        <v>202</v>
      </c>
      <c r="D15" s="12">
        <v>295115.8790311331</v>
      </c>
      <c r="E15" s="12">
        <v>491</v>
      </c>
      <c r="F15" s="12">
        <v>10</v>
      </c>
    </row>
    <row r="16" spans="1:6">
      <c r="A16" s="9">
        <v>14</v>
      </c>
      <c r="B16" s="9" t="s">
        <v>203</v>
      </c>
      <c r="C16" s="9" t="s">
        <v>188</v>
      </c>
      <c r="D16" s="12">
        <v>279789.5839510634</v>
      </c>
      <c r="E16" s="12">
        <v>118</v>
      </c>
      <c r="F16" s="12">
        <v>2</v>
      </c>
    </row>
    <row r="17" spans="1:6">
      <c r="A17" s="9">
        <v>15</v>
      </c>
      <c r="B17" s="9" t="s">
        <v>204</v>
      </c>
      <c r="C17" s="9" t="s">
        <v>188</v>
      </c>
      <c r="D17" s="12">
        <v>277303.3023254553</v>
      </c>
      <c r="E17" s="12">
        <v>90</v>
      </c>
      <c r="F17" s="1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4.7109375" customWidth="1"/>
  </cols>
  <sheetData>
    <row r="1" spans="1:4">
      <c r="A1" s="7" t="s">
        <v>205</v>
      </c>
    </row>
    <row r="2" spans="1:4">
      <c r="A2" s="8" t="s">
        <v>41</v>
      </c>
      <c r="B2" s="8" t="s">
        <v>206</v>
      </c>
      <c r="C2" s="8" t="s">
        <v>207</v>
      </c>
      <c r="D2" s="8" t="s">
        <v>208</v>
      </c>
    </row>
    <row r="3" spans="1:4">
      <c r="A3" s="9" t="s">
        <v>110</v>
      </c>
      <c r="B3" s="18">
        <v>4.3156</v>
      </c>
      <c r="C3" s="18">
        <v>4.2728</v>
      </c>
      <c r="D3" s="18">
        <v>4</v>
      </c>
    </row>
    <row r="4" spans="1:4">
      <c r="A4" s="9" t="s">
        <v>166</v>
      </c>
      <c r="B4" s="18">
        <v>1.7649</v>
      </c>
      <c r="C4" s="18">
        <v>1.7548</v>
      </c>
      <c r="D4" s="18">
        <v>1.65</v>
      </c>
    </row>
    <row r="5" spans="1:4">
      <c r="A5" s="9" t="s">
        <v>126</v>
      </c>
      <c r="B5" s="18">
        <v>1.6234</v>
      </c>
      <c r="C5" s="18">
        <v>1.6323</v>
      </c>
      <c r="D5" s="18">
        <v>1.48</v>
      </c>
    </row>
    <row r="6" spans="1:4">
      <c r="A6" s="9" t="s">
        <v>81</v>
      </c>
      <c r="B6" s="18">
        <v>0.9219000000000001</v>
      </c>
      <c r="C6" s="18">
        <v>0.9327</v>
      </c>
      <c r="D6" s="18">
        <v>0.95</v>
      </c>
    </row>
    <row r="7" spans="1:4">
      <c r="A7" s="9" t="s">
        <v>146</v>
      </c>
      <c r="B7" s="18">
        <v>8.216699999999999</v>
      </c>
      <c r="C7" s="18">
        <v>8.233700000000001</v>
      </c>
      <c r="D7" s="18">
        <v>7.8</v>
      </c>
    </row>
    <row r="8" spans="1:4">
      <c r="A8" s="9" t="s">
        <v>106</v>
      </c>
      <c r="B8" s="18">
        <v>7.4641</v>
      </c>
      <c r="C8" s="18">
        <v>7.457</v>
      </c>
      <c r="D8" s="18">
        <v>7.46</v>
      </c>
    </row>
    <row r="9" spans="1:4">
      <c r="A9" s="9" t="s">
        <v>56</v>
      </c>
      <c r="B9" s="18">
        <v>1</v>
      </c>
      <c r="C9" s="18">
        <v>1</v>
      </c>
      <c r="D9" s="18">
        <v>1</v>
      </c>
    </row>
    <row r="10" spans="1:4">
      <c r="A10" s="9" t="s">
        <v>89</v>
      </c>
      <c r="B10" s="18">
        <v>0.8727</v>
      </c>
      <c r="C10" s="18">
        <v>0.8762</v>
      </c>
      <c r="D10" s="18">
        <v>0.85</v>
      </c>
    </row>
    <row r="11" spans="1:4">
      <c r="A11" s="9" t="s">
        <v>154</v>
      </c>
      <c r="B11" s="18">
        <v>9.139900000000001</v>
      </c>
      <c r="C11" s="18">
        <v>9.0608</v>
      </c>
      <c r="D11" s="18">
        <v>8.449999999999999</v>
      </c>
    </row>
    <row r="12" spans="1:4">
      <c r="A12" s="9" t="s">
        <v>130</v>
      </c>
      <c r="B12" s="18">
        <v>172.48</v>
      </c>
      <c r="C12" s="18">
        <v>174.9</v>
      </c>
      <c r="D12" s="18">
        <v>162</v>
      </c>
    </row>
    <row r="13" spans="1:4">
      <c r="A13" s="9" t="s">
        <v>138</v>
      </c>
      <c r="B13" s="18">
        <v>1637.36</v>
      </c>
      <c r="C13" s="18">
        <v>1649.6</v>
      </c>
      <c r="D13" s="18">
        <v>1480</v>
      </c>
    </row>
    <row r="14" spans="1:4">
      <c r="A14" s="9" t="s">
        <v>162</v>
      </c>
      <c r="B14" s="18">
        <v>1.508</v>
      </c>
      <c r="C14" s="18">
        <v>1.5167</v>
      </c>
      <c r="D14" s="18">
        <v>1.45</v>
      </c>
    </row>
    <row r="15" spans="1:4">
      <c r="A15" s="9" t="s">
        <v>158</v>
      </c>
      <c r="B15" s="18">
        <v>36.06</v>
      </c>
      <c r="C15" s="18">
        <v>35.71</v>
      </c>
      <c r="D15" s="18">
        <v>34.8</v>
      </c>
    </row>
    <row r="16" spans="1:4">
      <c r="A16" s="9" t="s">
        <v>114</v>
      </c>
      <c r="B16" s="18">
        <v>1.1752</v>
      </c>
      <c r="C16" s="18">
        <v>1.1634</v>
      </c>
      <c r="D16" s="18">
        <v>1.08</v>
      </c>
    </row>
    <row r="19" spans="1:1">
      <c r="A19" s="6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Summary</vt:lpstr>
      <vt:lpstr>Stores</vt:lpstr>
      <vt:lpstr>Country</vt:lpstr>
      <vt:lpstr>Daily</vt:lpstr>
      <vt:lpstr>Top styles</vt:lpstr>
      <vt:lpstr>FX</vt:lpstr>
    </vt:vector>
  </TitlesOfParts>
  <Company>Valentino S.p.A.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Sales Flash W41 2026</dc:title>
  <dc:creator>Retail Controlling - M. Galli</dc:creator>
  <dc:description>version 1.0</dc:description>
  <cp:lastModifiedBy>Retail Controlling - M. Galli</cp:lastModifiedBy>
  <dcterms:created xsi:type="dcterms:W3CDTF">2026-10-22T16:02:55Z</dcterms:created>
  <dcterms:modified xsi:type="dcterms:W3CDTF">2026-10-22T16:02:55Z</dcterms:modified>
</cp:coreProperties>
</file>