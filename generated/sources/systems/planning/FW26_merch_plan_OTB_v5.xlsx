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EMEA" sheetId="3" state="visible" r:id="rId5"/>
    <sheet name="AMERICAS" sheetId="4" state="visible" r:id="rId6"/>
    <sheet name="APAC" sheetId="5" state="visible" r:id="rId7"/>
    <sheet name="OTB_v3_luglio" sheetId="6" state="hidden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G. Bellini</author>
    <author>planning</author>
  </authors>
  <commentList>
    <comment ref="E6" authorId="1">
      <text>
        <r>
          <rPr>
            <sz val="10"/>
            <rFont val="Arial"/>
            <family val="2"/>
          </rPr>
          <t xml:space="preserve">MTD al 21/10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93</xdr:colOff>
                <xdr:row>4</xdr:row>
                <xdr:rowOff>1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Include riassortimento AUREA nero 420 pz (PO 4500218734) - ETA 02/10 (era 25/9)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93</xdr:colOff>
                <xdr:row>4</xdr:row>
                <xdr:rowOff>1</xdr:rowOff>
              </xdr:to>
            </anchor>
          </commentPr>
        </mc:Choice>
        <mc:Fallback/>
      </mc:AlternateContent>
    </comment>
    <comment ref="E14" authorId="1">
      <text>
        <r>
          <rPr>
            <sz val="10"/>
            <rFont val="Arial"/>
            <family val="2"/>
          </rPr>
          <t xml:space="preserve">MTD al 21/10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93</xdr:colOff>
                <xdr:row>4</xdr:row>
                <xdr:rowOff>1</xdr:rowOff>
              </xdr:to>
            </anchor>
          </commentPr>
        </mc:Choice>
        <mc:Fallback/>
      </mc:AlternateContent>
    </comment>
    <comment ref="E22" authorId="1">
      <text>
        <r>
          <rPr>
            <sz val="10"/>
            <rFont val="Arial"/>
            <family val="2"/>
          </rPr>
          <t xml:space="preserve">MTD al 21/10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93</xdr:colOff>
                <xdr:row>4</xdr:row>
                <xdr:rowOff>1</xdr:rowOff>
              </xdr:to>
            </anchor>
          </commentPr>
        </mc:Choice>
        <mc:Fallback/>
      </mc:AlternateContent>
    </comment>
    <comment ref="E30" authorId="1">
      <text>
        <r>
          <rPr>
            <sz val="10"/>
            <rFont val="Arial"/>
            <family val="2"/>
          </rPr>
          <t xml:space="preserve">MTD al 21/10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93</xdr:colOff>
                <xdr:row>4</xdr:row>
                <xdr:rowOff>1</xdr:rowOff>
              </xdr:to>
            </anchor>
          </commentPr>
        </mc:Choice>
        <mc:Fallback/>
      </mc:AlternateContent>
    </comment>
    <comment ref="E38" authorId="1">
      <text>
        <r>
          <rPr>
            <sz val="10"/>
            <rFont val="Arial"/>
            <family val="2"/>
          </rPr>
          <t xml:space="preserve">MTD al 21/10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93</xdr:colOff>
                <xdr:row>4</xdr:row>
                <xdr:rowOff>1</xdr:rowOff>
              </xdr:to>
            </anchor>
          </commentPr>
        </mc:Choice>
        <mc:Fallback/>
      </mc:AlternateContent>
    </comment>
    <comment ref="E46" authorId="1">
      <text>
        <r>
          <rPr>
            <sz val="10"/>
            <rFont val="Arial"/>
            <family val="2"/>
          </rPr>
          <t xml:space="preserve">MTD al 21/10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93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planning</author>
  </authors>
  <commentList>
    <comment ref="E6" authorId="0">
      <text>
        <r>
          <rPr>
            <sz val="10"/>
            <rFont val="Arial"/>
            <family val="2"/>
          </rPr>
          <t xml:space="preserve">MTD al 21/10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93</xdr:colOff>
                <xdr:row>4</xdr:row>
                <xdr:rowOff>1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MTD al 21/10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93</xdr:colOff>
                <xdr:row>4</xdr:row>
                <xdr:rowOff>1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MTD al 21/10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93</xdr:colOff>
                <xdr:row>4</xdr:row>
                <xdr:rowOff>1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MTD al 21/10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93</xdr:colOff>
                <xdr:row>4</xdr:row>
                <xdr:rowOff>1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MTD al 21/10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93</xdr:colOff>
                <xdr:row>4</xdr:row>
                <xdr:rowOff>1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MTD al 21/10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93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W. Chen</author>
    <author>planning</author>
  </authors>
  <commentList>
    <comment ref="D5" authorId="0">
      <text>
        <r>
          <rPr>
            <sz val="10"/>
            <rFont val="Arial"/>
            <family val="2"/>
          </rPr>
          <t xml:space="preserve">Astra: piano CN/HK ok. IRIDIA rosa nessun upside previsto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93</xdr:colOff>
                <xdr:row>4</xdr:row>
                <xdr:rowOff>1</xdr:rowOff>
              </xdr:to>
            </anchor>
          </commentPr>
        </mc:Choice>
        <mc:Fallback/>
      </mc:AlternateContent>
    </comment>
    <comment ref="E6" authorId="1">
      <text>
        <r>
          <rPr>
            <sz val="10"/>
            <rFont val="Arial"/>
            <family val="2"/>
          </rPr>
          <t xml:space="preserve">MTD al 21/10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93</xdr:colOff>
                <xdr:row>4</xdr:row>
                <xdr:rowOff>1</xdr:rowOff>
              </xdr:to>
            </anchor>
          </commentPr>
        </mc:Choice>
        <mc:Fallback/>
      </mc:AlternateContent>
    </comment>
    <comment ref="E14" authorId="1">
      <text>
        <r>
          <rPr>
            <sz val="10"/>
            <rFont val="Arial"/>
            <family val="2"/>
          </rPr>
          <t xml:space="preserve">MTD al 21/10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93</xdr:colOff>
                <xdr:row>4</xdr:row>
                <xdr:rowOff>1</xdr:rowOff>
              </xdr:to>
            </anchor>
          </commentPr>
        </mc:Choice>
        <mc:Fallback/>
      </mc:AlternateContent>
    </comment>
    <comment ref="E22" authorId="1">
      <text>
        <r>
          <rPr>
            <sz val="10"/>
            <rFont val="Arial"/>
            <family val="2"/>
          </rPr>
          <t xml:space="preserve">MTD al 21/10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93</xdr:colOff>
                <xdr:row>4</xdr:row>
                <xdr:rowOff>1</xdr:rowOff>
              </xdr:to>
            </anchor>
          </commentPr>
        </mc:Choice>
        <mc:Fallback/>
      </mc:AlternateContent>
    </comment>
    <comment ref="E30" authorId="1">
      <text>
        <r>
          <rPr>
            <sz val="10"/>
            <rFont val="Arial"/>
            <family val="2"/>
          </rPr>
          <t xml:space="preserve">MTD al 21/10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93</xdr:colOff>
                <xdr:row>4</xdr:row>
                <xdr:rowOff>1</xdr:rowOff>
              </xdr:to>
            </anchor>
          </commentPr>
        </mc:Choice>
        <mc:Fallback/>
      </mc:AlternateContent>
    </comment>
    <comment ref="E38" authorId="1">
      <text>
        <r>
          <rPr>
            <sz val="10"/>
            <rFont val="Arial"/>
            <family val="2"/>
          </rPr>
          <t xml:space="preserve">MTD al 21/10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93</xdr:colOff>
                <xdr:row>4</xdr:row>
                <xdr:rowOff>1</xdr:rowOff>
              </xdr:to>
            </anchor>
          </commentPr>
        </mc:Choice>
        <mc:Fallback/>
      </mc:AlternateContent>
    </comment>
    <comment ref="E46" authorId="1">
      <text>
        <r>
          <rPr>
            <sz val="10"/>
            <rFont val="Arial"/>
            <family val="2"/>
          </rPr>
          <t xml:space="preserve">MTD al 21/10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93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<sst xmlns="http://schemas.openxmlformats.org/spreadsheetml/2006/main" count="322" uniqueCount="64">
  <si>
    <t xml:space="preserve">FW26 OTB - Summary (EUR k)</t>
  </si>
  <si>
    <t xml:space="preserve">Regione</t>
  </si>
  <si>
    <t xml:space="preserve">Planned Sales</t>
  </si>
  <si>
    <t xml:space="preserve">Actual Sales (Aug-Oct MTD)</t>
  </si>
  <si>
    <t xml:space="preserve">Plan Aug-Oct</t>
  </si>
  <si>
    <t xml:space="preserve">Var %</t>
  </si>
  <si>
    <t xml:space="preserve">Planned Receipts</t>
  </si>
  <si>
    <t xml:space="preserve">On Order</t>
  </si>
  <si>
    <t xml:space="preserve">OTB residuo</t>
  </si>
  <si>
    <t xml:space="preserve">EMEA</t>
  </si>
  <si>
    <t xml:space="preserve">AMERICAS</t>
  </si>
  <si>
    <t xml:space="preserve">APAC</t>
  </si>
  <si>
    <t xml:space="preserve">TOTALE</t>
  </si>
  <si>
    <t xml:space="preserve">NB: Oct actual = MTD 21/10 vs full-month plan -&gt; var% Oct non confrontabile</t>
  </si>
  <si>
    <t xml:space="preserve">FW26 Merchandise Plan / OTB - Assunzioni</t>
  </si>
  <si>
    <t xml:space="preserve">Valori in EUR k al cambio budget 2026, retail value. Versione v5 - 14/09/2026 (G. Bellini)</t>
  </si>
  <si>
    <t xml:space="preserve">Crescita vs LY</t>
  </si>
  <si>
    <t xml:space="preserve">Note</t>
  </si>
  <si>
    <t xml:space="preserve">incl. Golden Week Milano/Parigi</t>
  </si>
  <si>
    <t xml:space="preserve">campagna FW26 US/UK da 15/9 (+ agenzia stima +20%?)</t>
  </si>
  <si>
    <t xml:space="preserve">Couture Astra + Cina forte</t>
  </si>
  <si>
    <t xml:space="preserve">Categoria</t>
  </si>
  <si>
    <t xml:space="preserve">Adj. crescita</t>
  </si>
  <si>
    <t xml:space="preserve">Mesi copertura EOP (WOC/4)</t>
  </si>
  <si>
    <t xml:space="preserve">Outerwear</t>
  </si>
  <si>
    <t xml:space="preserve">Knitwear</t>
  </si>
  <si>
    <t xml:space="preserve">Jersey</t>
  </si>
  <si>
    <t xml:space="preserve">Footwear</t>
  </si>
  <si>
    <t xml:space="preserve">Accessories</t>
  </si>
  <si>
    <t xml:space="preserve">Bottoms</t>
  </si>
  <si>
    <t xml:space="preserve">Astra (Couture)</t>
  </si>
  <si>
    <t xml:space="preserve">Piano EU = profilo Couture drop 2025 (CN/HK), fattore 1.0</t>
  </si>
  <si>
    <t xml:space="preserve">da rivedere dopo lancio 24/9</t>
  </si>
  <si>
    <t xml:space="preserve">IRIDIA</t>
  </si>
  <si>
    <t xml:space="preserve">analogo ARIA x 0,55 (allocazione) / forecast stat. ARIA x 0,6</t>
  </si>
  <si>
    <t xml:space="preserve">colore 510 rosa cipria = 20% buy</t>
  </si>
  <si>
    <t xml:space="preserve">SYD01</t>
  </si>
  <si>
    <t xml:space="preserve">profilo stagionalità NH_STD (come EMEA)</t>
  </si>
  <si>
    <t xml:space="preserve">?? chiedere a Daniel Lim</t>
  </si>
  <si>
    <t xml:space="preserve">OTB FW26 - EMEA</t>
  </si>
  <si>
    <t xml:space="preserve">EUR k - retail @ budget FX</t>
  </si>
  <si>
    <t xml:space="preserve">Q3 FY26</t>
  </si>
  <si>
    <t xml:space="preserve">Q4 FY26</t>
  </si>
  <si>
    <t xml:space="preserve">Q1 FY27</t>
  </si>
  <si>
    <t xml:space="preserve">Season</t>
  </si>
  <si>
    <t xml:space="preserve">Misura</t>
  </si>
  <si>
    <t xml:space="preserve">Ago-26</t>
  </si>
  <si>
    <t xml:space="preserve">Set-26</t>
  </si>
  <si>
    <t xml:space="preserve">Ott-26</t>
  </si>
  <si>
    <t xml:space="preserve">Nov-26</t>
  </si>
  <si>
    <t xml:space="preserve">Dic-26</t>
  </si>
  <si>
    <t xml:space="preserve">Gen-27</t>
  </si>
  <si>
    <t xml:space="preserve">TOT</t>
  </si>
  <si>
    <t xml:space="preserve">Actual Sales</t>
  </si>
  <si>
    <t xml:space="preserve">Var % vs plan</t>
  </si>
  <si>
    <t xml:space="preserve">BOP</t>
  </si>
  <si>
    <t xml:space="preserve">Planned EOP</t>
  </si>
  <si>
    <t xml:space="preserve">OTB</t>
  </si>
  <si>
    <t xml:space="preserve">TOTALE EMEA</t>
  </si>
  <si>
    <t xml:space="preserve">OTB FW26 - AMERICAS</t>
  </si>
  <si>
    <t xml:space="preserve">TOTALE AMERICAS</t>
  </si>
  <si>
    <t xml:space="preserve">OTB FW26 - APAC</t>
  </si>
  <si>
    <t xml:space="preserve">TOTALE APAC</t>
  </si>
  <si>
    <t xml:space="preserve">VERSIONE LUGLIO - NON USARE (valori incollati)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</si>
</sst>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[RED]\-#,##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color rgb="FFC00000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2"/>
    </font>
    <font>
      <b val="true"/>
      <sz val="11"/>
      <color rgb="FFC000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8" min="1" style="0" width="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0" t="s">
        <v>9</v>
      </c>
      <c r="B4" s="3" t="n">
        <f aca="false">EMEA!I53</f>
        <v>139300</v>
      </c>
      <c r="C4" s="3" t="n">
        <f aca="false">EMEA!I54</f>
        <v>33674</v>
      </c>
      <c r="D4" s="3" t="n">
        <f aca="false">SUM(EMEA!C53:E53)</f>
        <v>42113</v>
      </c>
      <c r="E4" s="4" t="n">
        <f aca="false">C4/D4-1</f>
        <v>-0.200389428442524</v>
      </c>
      <c r="F4" s="3" t="n">
        <f aca="false">EMEA!I58</f>
        <v>165966</v>
      </c>
      <c r="G4" s="3" t="n">
        <f aca="false">EMEA!I59</f>
        <v>130721</v>
      </c>
      <c r="H4" s="3" t="n">
        <f aca="false">EMEA!I60</f>
        <v>35245</v>
      </c>
    </row>
    <row r="5" customFormat="false" ht="15" hidden="false" customHeight="false" outlineLevel="0" collapsed="false">
      <c r="A5" s="0" t="s">
        <v>10</v>
      </c>
      <c r="B5" s="3" t="n">
        <f aca="false">AMERICAS!I53</f>
        <v>37168</v>
      </c>
      <c r="C5" s="3" t="n">
        <f aca="false">AMERICAS!I54</f>
        <v>8975</v>
      </c>
      <c r="D5" s="3" t="n">
        <f aca="false">SUM(AMERICAS!C53:E53)</f>
        <v>11003</v>
      </c>
      <c r="E5" s="4" t="n">
        <f aca="false">C5/D5-1</f>
        <v>-0.18431336908116</v>
      </c>
      <c r="F5" s="3" t="n">
        <f aca="false">AMERICAS!I58</f>
        <v>44004</v>
      </c>
      <c r="G5" s="3" t="n">
        <f aca="false">AMERICAS!I59</f>
        <v>35292</v>
      </c>
      <c r="H5" s="3" t="n">
        <f aca="false">AMERICAS!I60</f>
        <v>8712</v>
      </c>
    </row>
    <row r="6" customFormat="false" ht="15" hidden="false" customHeight="false" outlineLevel="0" collapsed="false">
      <c r="A6" s="0" t="s">
        <v>11</v>
      </c>
      <c r="B6" s="3" t="n">
        <f aca="false">APAC!I53</f>
        <v>136543</v>
      </c>
      <c r="C6" s="3" t="n">
        <f aca="false">APAC!I54</f>
        <v>39838</v>
      </c>
      <c r="D6" s="3" t="n">
        <f aca="false">SUM(APAC!C53:E53)</f>
        <v>45022</v>
      </c>
      <c r="E6" s="4" t="n">
        <f aca="false">C6/D6-1</f>
        <v>-0.115143707520768</v>
      </c>
      <c r="F6" s="3" t="n">
        <f aca="false">APAC!I58</f>
        <v>155626</v>
      </c>
      <c r="G6" s="3" t="n">
        <f aca="false">APAC!I59</f>
        <v>125714</v>
      </c>
      <c r="H6" s="3" t="n">
        <f aca="false">APAC!I60</f>
        <v>29912</v>
      </c>
    </row>
    <row r="7" customFormat="false" ht="15" hidden="false" customHeight="false" outlineLevel="0" collapsed="false">
      <c r="A7" s="0" t="s">
        <v>12</v>
      </c>
      <c r="B7" s="3" t="n">
        <f aca="false">SUM(B4:B6)</f>
        <v>313011</v>
      </c>
      <c r="C7" s="3" t="n">
        <f aca="false">SUM(C4:C6)</f>
        <v>82487</v>
      </c>
      <c r="D7" s="3" t="n">
        <f aca="false">SUM(D4:D6)</f>
        <v>98138</v>
      </c>
      <c r="E7" s="4" t="n">
        <f aca="false">C7/D7-1</f>
        <v>-0.159479508447289</v>
      </c>
      <c r="F7" s="3" t="n">
        <f aca="false">SUM(F4:F6)</f>
        <v>365596</v>
      </c>
      <c r="G7" s="3" t="n">
        <f aca="false">SUM(G4:G6)</f>
        <v>291727</v>
      </c>
      <c r="H7" s="3" t="n">
        <f aca="false">SUM(H4:H6)</f>
        <v>73869</v>
      </c>
    </row>
    <row r="9" customFormat="false" ht="15" hidden="false" customHeight="false" outlineLevel="0" collapsed="false">
      <c r="A9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0" t="s">
        <v>15</v>
      </c>
    </row>
    <row r="4" customFormat="false" ht="15" hidden="false" customHeight="false" outlineLevel="0" collapsed="false">
      <c r="A4" s="6" t="s">
        <v>1</v>
      </c>
      <c r="B4" s="6" t="s">
        <v>16</v>
      </c>
      <c r="C4" s="6" t="s">
        <v>17</v>
      </c>
    </row>
    <row r="5" customFormat="false" ht="15" hidden="false" customHeight="false" outlineLevel="0" collapsed="false">
      <c r="A5" s="6" t="s">
        <v>9</v>
      </c>
      <c r="B5" s="6" t="n">
        <v>1.05</v>
      </c>
      <c r="C5" s="6" t="s">
        <v>18</v>
      </c>
    </row>
    <row r="6" customFormat="false" ht="15" hidden="false" customHeight="false" outlineLevel="0" collapsed="false">
      <c r="A6" s="6" t="s">
        <v>10</v>
      </c>
      <c r="B6" s="6" t="n">
        <v>1.04</v>
      </c>
      <c r="C6" s="6" t="s">
        <v>19</v>
      </c>
    </row>
    <row r="7" customFormat="false" ht="15" hidden="false" customHeight="false" outlineLevel="0" collapsed="false">
      <c r="A7" s="6" t="s">
        <v>11</v>
      </c>
      <c r="B7" s="6" t="n">
        <v>1.09</v>
      </c>
      <c r="C7" s="6" t="s">
        <v>20</v>
      </c>
    </row>
    <row r="8" customFormat="false" ht="15" hidden="false" customHeight="false" outlineLevel="0" collapsed="false">
      <c r="A8" s="6"/>
      <c r="B8" s="6"/>
      <c r="C8" s="6"/>
    </row>
    <row r="9" customFormat="false" ht="15" hidden="false" customHeight="false" outlineLevel="0" collapsed="false">
      <c r="A9" s="6" t="s">
        <v>21</v>
      </c>
      <c r="B9" s="6" t="s">
        <v>22</v>
      </c>
      <c r="C9" s="6" t="s">
        <v>23</v>
      </c>
    </row>
    <row r="10" customFormat="false" ht="15" hidden="false" customHeight="false" outlineLevel="0" collapsed="false">
      <c r="A10" s="6" t="s">
        <v>24</v>
      </c>
      <c r="B10" s="6" t="n">
        <v>1.03</v>
      </c>
      <c r="C10" s="6" t="n">
        <v>2.4</v>
      </c>
    </row>
    <row r="11" customFormat="false" ht="15" hidden="false" customHeight="false" outlineLevel="0" collapsed="false">
      <c r="A11" s="6" t="s">
        <v>25</v>
      </c>
      <c r="B11" s="6" t="n">
        <v>1.02</v>
      </c>
      <c r="C11" s="6" t="n">
        <v>2</v>
      </c>
    </row>
    <row r="12" customFormat="false" ht="15" hidden="false" customHeight="false" outlineLevel="0" collapsed="false">
      <c r="A12" s="6" t="s">
        <v>26</v>
      </c>
      <c r="B12" s="6" t="n">
        <v>0.98</v>
      </c>
      <c r="C12" s="6" t="n">
        <v>1.6</v>
      </c>
    </row>
    <row r="13" customFormat="false" ht="15" hidden="false" customHeight="false" outlineLevel="0" collapsed="false">
      <c r="A13" s="6" t="s">
        <v>27</v>
      </c>
      <c r="B13" s="6" t="n">
        <v>1</v>
      </c>
      <c r="C13" s="6" t="n">
        <v>2.2</v>
      </c>
    </row>
    <row r="14" customFormat="false" ht="15" hidden="false" customHeight="false" outlineLevel="0" collapsed="false">
      <c r="A14" s="6" t="s">
        <v>28</v>
      </c>
      <c r="B14" s="6" t="n">
        <v>1.04</v>
      </c>
      <c r="C14" s="7" t="n">
        <v>1.8</v>
      </c>
    </row>
    <row r="15" customFormat="false" ht="15" hidden="false" customHeight="false" outlineLevel="0" collapsed="false">
      <c r="A15" s="6" t="s">
        <v>29</v>
      </c>
      <c r="B15" s="6" t="n">
        <v>1</v>
      </c>
      <c r="C15" s="6" t="n">
        <v>2.5</v>
      </c>
    </row>
    <row r="16" customFormat="false" ht="15" hidden="false" customHeight="false" outlineLevel="0" collapsed="false">
      <c r="A16" s="6"/>
      <c r="B16" s="6"/>
      <c r="C16" s="6"/>
    </row>
    <row r="17" customFormat="false" ht="15" hidden="false" customHeight="false" outlineLevel="0" collapsed="false">
      <c r="A17" s="6" t="s">
        <v>30</v>
      </c>
      <c r="B17" s="6" t="s">
        <v>31</v>
      </c>
      <c r="C17" s="6" t="s">
        <v>32</v>
      </c>
    </row>
    <row r="18" customFormat="false" ht="15" hidden="false" customHeight="false" outlineLevel="0" collapsed="false">
      <c r="A18" s="6" t="s">
        <v>33</v>
      </c>
      <c r="B18" s="6" t="s">
        <v>34</v>
      </c>
      <c r="C18" s="6" t="s">
        <v>35</v>
      </c>
    </row>
    <row r="19" customFormat="false" ht="15" hidden="false" customHeight="false" outlineLevel="0" collapsed="false">
      <c r="A19" s="6" t="s">
        <v>36</v>
      </c>
      <c r="B19" s="6" t="s">
        <v>37</v>
      </c>
      <c r="C19" s="6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9" min="3" style="0" width="11"/>
  </cols>
  <sheetData>
    <row r="1" customFormat="false" ht="16.15" hidden="false" customHeight="false" outlineLevel="0" collapsed="false">
      <c r="A1" s="8" t="s">
        <v>39</v>
      </c>
    </row>
    <row r="2" customFormat="false" ht="15" hidden="false" customHeight="false" outlineLevel="0" collapsed="false">
      <c r="A2" s="0" t="s">
        <v>40</v>
      </c>
    </row>
    <row r="3" customFormat="false" ht="15" hidden="false" customHeight="false" outlineLevel="0" collapsed="false">
      <c r="C3" s="9" t="s">
        <v>41</v>
      </c>
      <c r="D3" s="9"/>
      <c r="E3" s="9" t="s">
        <v>42</v>
      </c>
      <c r="F3" s="9"/>
      <c r="G3" s="9"/>
      <c r="H3" s="10" t="s">
        <v>43</v>
      </c>
      <c r="I3" s="10" t="s">
        <v>44</v>
      </c>
    </row>
    <row r="4" customFormat="false" ht="15" hidden="false" customHeight="false" outlineLevel="0" collapsed="false">
      <c r="A4" s="0" t="s">
        <v>21</v>
      </c>
      <c r="B4" s="0" t="s">
        <v>45</v>
      </c>
      <c r="C4" s="11" t="s">
        <v>46</v>
      </c>
      <c r="D4" s="11" t="s">
        <v>47</v>
      </c>
      <c r="E4" s="11" t="s">
        <v>48</v>
      </c>
      <c r="F4" s="11" t="s">
        <v>49</v>
      </c>
      <c r="G4" s="11" t="s">
        <v>50</v>
      </c>
      <c r="H4" s="11" t="s">
        <v>51</v>
      </c>
      <c r="I4" s="11" t="s">
        <v>52</v>
      </c>
    </row>
    <row r="5" customFormat="false" ht="15" hidden="false" customHeight="false" outlineLevel="0" collapsed="false">
      <c r="A5" s="12" t="s">
        <v>24</v>
      </c>
      <c r="B5" s="0" t="s">
        <v>2</v>
      </c>
      <c r="C5" s="3" t="n">
        <v>5560</v>
      </c>
      <c r="D5" s="3" t="n">
        <v>8965</v>
      </c>
      <c r="E5" s="3" t="n">
        <v>14876</v>
      </c>
      <c r="F5" s="3" t="n">
        <v>20333</v>
      </c>
      <c r="G5" s="3" t="n">
        <v>33115</v>
      </c>
      <c r="H5" s="3" t="n">
        <v>21603</v>
      </c>
      <c r="I5" s="3" t="n">
        <f aca="false">SUM(C5:H5)</f>
        <v>104452</v>
      </c>
    </row>
    <row r="6" customFormat="false" ht="15" hidden="false" customHeight="false" outlineLevel="0" collapsed="false">
      <c r="A6" s="12"/>
      <c r="B6" s="0" t="s">
        <v>53</v>
      </c>
      <c r="C6" s="13" t="n">
        <v>4617</v>
      </c>
      <c r="D6" s="13" t="n">
        <v>8508</v>
      </c>
      <c r="E6" s="13" t="n">
        <v>9627</v>
      </c>
      <c r="F6" s="3"/>
      <c r="G6" s="3"/>
      <c r="H6" s="3"/>
      <c r="I6" s="3" t="n">
        <f aca="false">SUM(C6:H6)</f>
        <v>22752</v>
      </c>
    </row>
    <row r="7" customFormat="false" ht="15" hidden="false" customHeight="false" outlineLevel="0" collapsed="false">
      <c r="A7" s="12"/>
      <c r="B7" s="0" t="s">
        <v>54</v>
      </c>
      <c r="C7" s="4" t="n">
        <f aca="false">IF(C6="","",C6/C5-1)</f>
        <v>-0.169604316546763</v>
      </c>
      <c r="D7" s="4" t="n">
        <f aca="false">IF(D6="","",D6/D5-1)</f>
        <v>-0.0509760178471835</v>
      </c>
      <c r="E7" s="4" t="n">
        <f aca="false">IF(E6="","",E6/E5-1)</f>
        <v>-0.352850228556063</v>
      </c>
      <c r="F7" s="4" t="str">
        <f aca="false">IF(F6="","",F6/F5-1)</f>
        <v/>
      </c>
      <c r="G7" s="4" t="str">
        <f aca="false">IF(G6="","",G6/G5-1)</f>
        <v/>
      </c>
      <c r="H7" s="4" t="str">
        <f aca="false">IF(H6="","",H6/H5-1)</f>
        <v/>
      </c>
      <c r="I7" s="4" t="n">
        <f aca="false">IF(SUM(C6:E6)=0,"",SUM(C6:E6)/SUM(C5:E5)-1)</f>
        <v>-0.226148770449985</v>
      </c>
    </row>
    <row r="8" customFormat="false" ht="15" hidden="false" customHeight="false" outlineLevel="0" collapsed="false">
      <c r="A8" s="12"/>
      <c r="B8" s="0" t="s">
        <v>55</v>
      </c>
      <c r="C8" s="3" t="n">
        <v>11364</v>
      </c>
      <c r="D8" s="3" t="n">
        <f aca="false">C9</f>
        <v>21516</v>
      </c>
      <c r="E8" s="3" t="n">
        <f aca="false">D9</f>
        <v>35702</v>
      </c>
      <c r="F8" s="3" t="n">
        <f aca="false">E9</f>
        <v>48799</v>
      </c>
      <c r="G8" s="3" t="n">
        <f aca="false">F9</f>
        <v>79476</v>
      </c>
      <c r="H8" s="3" t="n">
        <f aca="false">G9</f>
        <v>51847</v>
      </c>
      <c r="I8" s="3" t="n">
        <f aca="false">C8</f>
        <v>11364</v>
      </c>
    </row>
    <row r="9" customFormat="false" ht="15" hidden="false" customHeight="false" outlineLevel="0" collapsed="false">
      <c r="A9" s="12"/>
      <c r="B9" s="0" t="s">
        <v>56</v>
      </c>
      <c r="C9" s="3" t="n">
        <v>21516</v>
      </c>
      <c r="D9" s="3" t="n">
        <v>35702</v>
      </c>
      <c r="E9" s="3" t="n">
        <v>48799</v>
      </c>
      <c r="F9" s="3" t="n">
        <v>79476</v>
      </c>
      <c r="G9" s="3" t="n">
        <v>51847</v>
      </c>
      <c r="H9" s="3" t="n">
        <v>36293</v>
      </c>
      <c r="I9" s="3" t="n">
        <f aca="false">H9</f>
        <v>36293</v>
      </c>
    </row>
    <row r="10" customFormat="false" ht="15" hidden="false" customHeight="false" outlineLevel="0" collapsed="false">
      <c r="A10" s="12"/>
      <c r="B10" s="0" t="s">
        <v>6</v>
      </c>
      <c r="C10" s="3" t="n">
        <f aca="false">C5+C9-C8</f>
        <v>15712</v>
      </c>
      <c r="D10" s="3" t="n">
        <f aca="false">D5+D9-D8</f>
        <v>23151</v>
      </c>
      <c r="E10" s="3" t="n">
        <f aca="false">E5+E9-E8</f>
        <v>27973</v>
      </c>
      <c r="F10" s="3" t="n">
        <f aca="false">F5+F9-F8</f>
        <v>51010</v>
      </c>
      <c r="G10" s="3" t="n">
        <f aca="false">G5+G9-G8</f>
        <v>5486</v>
      </c>
      <c r="H10" s="3" t="n">
        <f aca="false">H5+H9-H8</f>
        <v>6049</v>
      </c>
      <c r="I10" s="3" t="n">
        <f aca="false">SUM(C10:H10)</f>
        <v>129381</v>
      </c>
    </row>
    <row r="11" customFormat="false" ht="15" hidden="false" customHeight="false" outlineLevel="0" collapsed="false">
      <c r="A11" s="12"/>
      <c r="B11" s="0" t="s">
        <v>7</v>
      </c>
      <c r="C11" s="3" t="n">
        <v>16423</v>
      </c>
      <c r="D11" s="3" t="n">
        <v>22926</v>
      </c>
      <c r="E11" s="3" t="n">
        <v>25425</v>
      </c>
      <c r="F11" s="3" t="n">
        <v>34034</v>
      </c>
      <c r="G11" s="3" t="n">
        <v>2472</v>
      </c>
      <c r="H11" s="3" t="n">
        <v>1181</v>
      </c>
      <c r="I11" s="3" t="n">
        <f aca="false">SUM(C11:H11)</f>
        <v>102461</v>
      </c>
    </row>
    <row r="12" customFormat="false" ht="15" hidden="false" customHeight="false" outlineLevel="0" collapsed="false">
      <c r="A12" s="12"/>
      <c r="B12" s="0" t="s">
        <v>57</v>
      </c>
      <c r="C12" s="14" t="n">
        <f aca="false">C10-C11</f>
        <v>-711</v>
      </c>
      <c r="D12" s="14" t="n">
        <f aca="false">D10-D11</f>
        <v>225</v>
      </c>
      <c r="E12" s="14" t="n">
        <f aca="false">E10-E11</f>
        <v>2548</v>
      </c>
      <c r="F12" s="14" t="n">
        <f aca="false">F10-F11</f>
        <v>16976</v>
      </c>
      <c r="G12" s="14" t="n">
        <f aca="false">G10-G11</f>
        <v>3014</v>
      </c>
      <c r="H12" s="14" t="n">
        <f aca="false">H10-H11</f>
        <v>4868</v>
      </c>
      <c r="I12" s="3" t="n">
        <f aca="false">SUM(C12:H12)</f>
        <v>26920</v>
      </c>
    </row>
    <row r="13" customFormat="false" ht="15" hidden="false" customHeight="false" outlineLevel="0" collapsed="false">
      <c r="A13" s="12" t="s">
        <v>25</v>
      </c>
      <c r="B13" s="0" t="s">
        <v>2</v>
      </c>
      <c r="C13" s="3" t="n">
        <v>1255</v>
      </c>
      <c r="D13" s="3" t="n">
        <v>1478</v>
      </c>
      <c r="E13" s="3" t="n">
        <v>1724</v>
      </c>
      <c r="F13" s="3" t="n">
        <v>2108</v>
      </c>
      <c r="G13" s="3" t="n">
        <v>3222</v>
      </c>
      <c r="H13" s="3" t="n">
        <v>2097</v>
      </c>
      <c r="I13" s="3" t="n">
        <f aca="false">SUM(C13:H13)</f>
        <v>11884</v>
      </c>
    </row>
    <row r="14" customFormat="false" ht="15" hidden="false" customHeight="false" outlineLevel="0" collapsed="false">
      <c r="A14" s="12"/>
      <c r="B14" s="0" t="s">
        <v>53</v>
      </c>
      <c r="C14" s="13" t="n">
        <v>1084</v>
      </c>
      <c r="D14" s="13" t="n">
        <v>1575</v>
      </c>
      <c r="E14" s="13" t="n">
        <v>1302</v>
      </c>
      <c r="F14" s="3"/>
      <c r="G14" s="3"/>
      <c r="H14" s="3"/>
      <c r="I14" s="3" t="n">
        <f aca="false">SUM(C14:H14)</f>
        <v>3961</v>
      </c>
    </row>
    <row r="15" customFormat="false" ht="15" hidden="false" customHeight="false" outlineLevel="0" collapsed="false">
      <c r="A15" s="12"/>
      <c r="B15" s="0" t="s">
        <v>54</v>
      </c>
      <c r="C15" s="4" t="n">
        <f aca="false">IF(C14="","",C14/C13-1)</f>
        <v>-0.136254980079681</v>
      </c>
      <c r="D15" s="4" t="n">
        <f aca="false">IF(D14="","",D14/D13-1)</f>
        <v>0.0656292286874154</v>
      </c>
      <c r="E15" s="4" t="n">
        <f aca="false">IF(E14="","",E14/E13-1)</f>
        <v>-0.244779582366589</v>
      </c>
      <c r="F15" s="4" t="str">
        <f aca="false">IF(F14="","",F14/F13-1)</f>
        <v/>
      </c>
      <c r="G15" s="4" t="str">
        <f aca="false">IF(G14="","",G14/G13-1)</f>
        <v/>
      </c>
      <c r="H15" s="4" t="str">
        <f aca="false">IF(H14="","",H14/H13-1)</f>
        <v/>
      </c>
      <c r="I15" s="4" t="n">
        <f aca="false">IF(SUM(C14:E14)=0,"",SUM(C14:E14)/SUM(C13:E13)-1)</f>
        <v>-0.111285618128786</v>
      </c>
    </row>
    <row r="16" customFormat="false" ht="15" hidden="false" customHeight="false" outlineLevel="0" collapsed="false">
      <c r="A16" s="12"/>
      <c r="B16" s="0" t="s">
        <v>55</v>
      </c>
      <c r="C16" s="3" t="n">
        <v>2585</v>
      </c>
      <c r="D16" s="3" t="n">
        <f aca="false">C17</f>
        <v>2956</v>
      </c>
      <c r="E16" s="3" t="n">
        <f aca="false">D17</f>
        <v>3448</v>
      </c>
      <c r="F16" s="3" t="n">
        <f aca="false">E17</f>
        <v>4216</v>
      </c>
      <c r="G16" s="3" t="n">
        <f aca="false">F17</f>
        <v>6444</v>
      </c>
      <c r="H16" s="3" t="n">
        <f aca="false">G17</f>
        <v>4194</v>
      </c>
      <c r="I16" s="3" t="n">
        <f aca="false">C16</f>
        <v>2585</v>
      </c>
    </row>
    <row r="17" customFormat="false" ht="15" hidden="false" customHeight="false" outlineLevel="0" collapsed="false">
      <c r="A17" s="12"/>
      <c r="B17" s="0" t="s">
        <v>56</v>
      </c>
      <c r="C17" s="3" t="n">
        <v>2956</v>
      </c>
      <c r="D17" s="3" t="n">
        <v>3448</v>
      </c>
      <c r="E17" s="3" t="n">
        <v>4216</v>
      </c>
      <c r="F17" s="3" t="n">
        <v>6444</v>
      </c>
      <c r="G17" s="3" t="n">
        <v>4194</v>
      </c>
      <c r="H17" s="3" t="n">
        <v>2936</v>
      </c>
      <c r="I17" s="3" t="n">
        <f aca="false">H17</f>
        <v>2936</v>
      </c>
    </row>
    <row r="18" customFormat="false" ht="15" hidden="false" customHeight="false" outlineLevel="0" collapsed="false">
      <c r="A18" s="12"/>
      <c r="B18" s="0" t="s">
        <v>6</v>
      </c>
      <c r="C18" s="3" t="n">
        <f aca="false">C13+C17-C16</f>
        <v>1626</v>
      </c>
      <c r="D18" s="3" t="n">
        <f aca="false">D13+D17-D16</f>
        <v>1970</v>
      </c>
      <c r="E18" s="3" t="n">
        <f aca="false">E13+E17-E16</f>
        <v>2492</v>
      </c>
      <c r="F18" s="3" t="n">
        <f aca="false">F13+F17-F16</f>
        <v>4336</v>
      </c>
      <c r="G18" s="3" t="n">
        <f aca="false">G13+G17-G16</f>
        <v>972</v>
      </c>
      <c r="H18" s="3" t="n">
        <f aca="false">H13+H17-H16</f>
        <v>839</v>
      </c>
      <c r="I18" s="3" t="n">
        <f aca="false">SUM(C18:H18)</f>
        <v>12235</v>
      </c>
    </row>
    <row r="19" customFormat="false" ht="15" hidden="false" customHeight="false" outlineLevel="0" collapsed="false">
      <c r="A19" s="12"/>
      <c r="B19" s="0" t="s">
        <v>7</v>
      </c>
      <c r="C19" s="3" t="n">
        <v>1684</v>
      </c>
      <c r="D19" s="3" t="n">
        <v>2013</v>
      </c>
      <c r="E19" s="3" t="n">
        <v>2351</v>
      </c>
      <c r="F19" s="3" t="n">
        <v>3008</v>
      </c>
      <c r="G19" s="3" t="n">
        <v>422</v>
      </c>
      <c r="H19" s="3" t="n">
        <v>175</v>
      </c>
      <c r="I19" s="3" t="n">
        <f aca="false">SUM(C19:H19)</f>
        <v>9653</v>
      </c>
    </row>
    <row r="20" customFormat="false" ht="15" hidden="false" customHeight="false" outlineLevel="0" collapsed="false">
      <c r="A20" s="12"/>
      <c r="B20" s="0" t="s">
        <v>57</v>
      </c>
      <c r="C20" s="14" t="n">
        <f aca="false">C18-C19</f>
        <v>-58</v>
      </c>
      <c r="D20" s="14" t="n">
        <f aca="false">D18-D19</f>
        <v>-43</v>
      </c>
      <c r="E20" s="14" t="n">
        <f aca="false">E18-E19</f>
        <v>141</v>
      </c>
      <c r="F20" s="14" t="n">
        <f aca="false">F18-F19</f>
        <v>1328</v>
      </c>
      <c r="G20" s="14" t="n">
        <f aca="false">G18-G19</f>
        <v>550</v>
      </c>
      <c r="H20" s="14" t="n">
        <f aca="false">H18-H19</f>
        <v>664</v>
      </c>
      <c r="I20" s="3" t="n">
        <f aca="false">SUM(C20:H20)</f>
        <v>2582</v>
      </c>
    </row>
    <row r="21" customFormat="false" ht="15" hidden="false" customHeight="false" outlineLevel="0" collapsed="false">
      <c r="A21" s="12" t="s">
        <v>26</v>
      </c>
      <c r="B21" s="0" t="s">
        <v>2</v>
      </c>
      <c r="C21" s="3" t="n">
        <v>1190</v>
      </c>
      <c r="D21" s="3" t="n">
        <v>1110</v>
      </c>
      <c r="E21" s="3" t="n">
        <v>1135</v>
      </c>
      <c r="F21" s="3" t="n">
        <v>1220</v>
      </c>
      <c r="G21" s="3" t="n">
        <v>1789</v>
      </c>
      <c r="H21" s="3" t="n">
        <v>1257</v>
      </c>
      <c r="I21" s="3" t="n">
        <f aca="false">SUM(C21:H21)</f>
        <v>7701</v>
      </c>
    </row>
    <row r="22" customFormat="false" ht="15" hidden="false" customHeight="false" outlineLevel="0" collapsed="false">
      <c r="A22" s="12"/>
      <c r="B22" s="0" t="s">
        <v>53</v>
      </c>
      <c r="C22" s="13" t="n">
        <v>1124</v>
      </c>
      <c r="D22" s="13" t="n">
        <v>1013</v>
      </c>
      <c r="E22" s="13" t="n">
        <v>770</v>
      </c>
      <c r="F22" s="3"/>
      <c r="G22" s="3"/>
      <c r="H22" s="3"/>
      <c r="I22" s="3" t="n">
        <f aca="false">SUM(C22:H22)</f>
        <v>2907</v>
      </c>
    </row>
    <row r="23" customFormat="false" ht="15" hidden="false" customHeight="false" outlineLevel="0" collapsed="false">
      <c r="A23" s="12"/>
      <c r="B23" s="0" t="s">
        <v>54</v>
      </c>
      <c r="C23" s="4" t="n">
        <f aca="false">IF(C22="","",C22/C21-1)</f>
        <v>-0.0554621848739496</v>
      </c>
      <c r="D23" s="4" t="n">
        <f aca="false">IF(D22="","",D22/D21-1)</f>
        <v>-0.0873873873873874</v>
      </c>
      <c r="E23" s="4" t="n">
        <f aca="false">IF(E22="","",E22/E21-1)</f>
        <v>-0.3215859030837</v>
      </c>
      <c r="F23" s="4" t="str">
        <f aca="false">IF(F22="","",F22/F21-1)</f>
        <v/>
      </c>
      <c r="G23" s="4" t="str">
        <f aca="false">IF(G22="","",G22/G21-1)</f>
        <v/>
      </c>
      <c r="H23" s="4" t="str">
        <f aca="false">IF(H22="","",H22/H21-1)</f>
        <v/>
      </c>
      <c r="I23" s="4" t="n">
        <f aca="false">IF(SUM(C22:E22)=0,"",SUM(C22:E22)/SUM(C21:E21)-1)</f>
        <v>-0.153711790393013</v>
      </c>
    </row>
    <row r="24" customFormat="false" ht="15" hidden="false" customHeight="false" outlineLevel="0" collapsed="false">
      <c r="A24" s="12"/>
      <c r="B24" s="0" t="s">
        <v>55</v>
      </c>
      <c r="C24" s="3" t="n">
        <v>1912</v>
      </c>
      <c r="D24" s="3" t="n">
        <f aca="false">C25</f>
        <v>1776</v>
      </c>
      <c r="E24" s="3" t="n">
        <f aca="false">D25</f>
        <v>1816</v>
      </c>
      <c r="F24" s="3" t="n">
        <f aca="false">E25</f>
        <v>1952</v>
      </c>
      <c r="G24" s="3" t="n">
        <f aca="false">F25</f>
        <v>2862</v>
      </c>
      <c r="H24" s="3" t="n">
        <f aca="false">G25</f>
        <v>2011</v>
      </c>
      <c r="I24" s="3" t="n">
        <f aca="false">C24</f>
        <v>1912</v>
      </c>
    </row>
    <row r="25" customFormat="false" ht="15" hidden="false" customHeight="false" outlineLevel="0" collapsed="false">
      <c r="A25" s="12"/>
      <c r="B25" s="0" t="s">
        <v>56</v>
      </c>
      <c r="C25" s="3" t="n">
        <v>1776</v>
      </c>
      <c r="D25" s="3" t="n">
        <v>1816</v>
      </c>
      <c r="E25" s="3" t="n">
        <v>1952</v>
      </c>
      <c r="F25" s="3" t="n">
        <v>2862</v>
      </c>
      <c r="G25" s="3" t="n">
        <v>2011</v>
      </c>
      <c r="H25" s="3" t="n">
        <v>1408</v>
      </c>
      <c r="I25" s="3" t="n">
        <f aca="false">H25</f>
        <v>1408</v>
      </c>
    </row>
    <row r="26" customFormat="false" ht="15" hidden="false" customHeight="false" outlineLevel="0" collapsed="false">
      <c r="A26" s="12"/>
      <c r="B26" s="0" t="s">
        <v>6</v>
      </c>
      <c r="C26" s="3" t="n">
        <f aca="false">C21+C25-C24</f>
        <v>1054</v>
      </c>
      <c r="D26" s="3" t="n">
        <f aca="false">D21+D25-D24</f>
        <v>1150</v>
      </c>
      <c r="E26" s="3" t="n">
        <f aca="false">E21+E25-E24</f>
        <v>1271</v>
      </c>
      <c r="F26" s="3" t="n">
        <f aca="false">F21+F25-F24</f>
        <v>2130</v>
      </c>
      <c r="G26" s="3" t="n">
        <f aca="false">G21+G25-G24</f>
        <v>938</v>
      </c>
      <c r="H26" s="3" t="n">
        <f aca="false">H21+H25-H24</f>
        <v>654</v>
      </c>
      <c r="I26" s="3" t="n">
        <f aca="false">SUM(C26:H26)</f>
        <v>7197</v>
      </c>
    </row>
    <row r="27" customFormat="false" ht="15" hidden="false" customHeight="false" outlineLevel="0" collapsed="false">
      <c r="A27" s="12"/>
      <c r="B27" s="0" t="s">
        <v>7</v>
      </c>
      <c r="C27" s="3" t="n">
        <v>1026</v>
      </c>
      <c r="D27" s="3" t="n">
        <v>1188</v>
      </c>
      <c r="E27" s="3" t="n">
        <v>1179</v>
      </c>
      <c r="F27" s="3" t="n">
        <v>1441</v>
      </c>
      <c r="G27" s="3" t="n">
        <v>411</v>
      </c>
      <c r="H27" s="3" t="n">
        <v>132</v>
      </c>
      <c r="I27" s="3" t="n">
        <f aca="false">SUM(C27:H27)</f>
        <v>5377</v>
      </c>
    </row>
    <row r="28" customFormat="false" ht="15" hidden="false" customHeight="false" outlineLevel="0" collapsed="false">
      <c r="A28" s="12"/>
      <c r="B28" s="0" t="s">
        <v>57</v>
      </c>
      <c r="C28" s="14" t="n">
        <f aca="false">C26-C27</f>
        <v>28</v>
      </c>
      <c r="D28" s="14" t="n">
        <f aca="false">D26-D27</f>
        <v>-38</v>
      </c>
      <c r="E28" s="14" t="n">
        <f aca="false">E26-E27</f>
        <v>92</v>
      </c>
      <c r="F28" s="14" t="n">
        <f aca="false">F26-F27</f>
        <v>689</v>
      </c>
      <c r="G28" s="14" t="n">
        <f aca="false">G26-G27</f>
        <v>527</v>
      </c>
      <c r="H28" s="14" t="n">
        <f aca="false">H26-H27</f>
        <v>522</v>
      </c>
      <c r="I28" s="3" t="n">
        <f aca="false">SUM(C28:H28)</f>
        <v>1820</v>
      </c>
    </row>
    <row r="29" customFormat="false" ht="15" hidden="false" customHeight="false" outlineLevel="0" collapsed="false">
      <c r="A29" s="12" t="s">
        <v>27</v>
      </c>
      <c r="B29" s="0" t="s">
        <v>2</v>
      </c>
      <c r="C29" s="3" t="n">
        <v>514</v>
      </c>
      <c r="D29" s="3" t="n">
        <v>688</v>
      </c>
      <c r="E29" s="3" t="n">
        <v>836</v>
      </c>
      <c r="F29" s="3" t="n">
        <v>1119</v>
      </c>
      <c r="G29" s="3" t="n">
        <v>1944</v>
      </c>
      <c r="H29" s="3" t="n">
        <v>1258</v>
      </c>
      <c r="I29" s="3" t="n">
        <f aca="false">SUM(C29:H29)</f>
        <v>6359</v>
      </c>
    </row>
    <row r="30" customFormat="false" ht="15" hidden="false" customHeight="false" outlineLevel="0" collapsed="false">
      <c r="A30" s="12"/>
      <c r="B30" s="0" t="s">
        <v>53</v>
      </c>
      <c r="C30" s="13" t="n">
        <v>495</v>
      </c>
      <c r="D30" s="13" t="n">
        <v>644</v>
      </c>
      <c r="E30" s="13" t="n">
        <v>601</v>
      </c>
      <c r="F30" s="3"/>
      <c r="G30" s="3"/>
      <c r="H30" s="3"/>
      <c r="I30" s="3" t="n">
        <f aca="false">SUM(C30:H30)</f>
        <v>1740</v>
      </c>
    </row>
    <row r="31" customFormat="false" ht="15" hidden="false" customHeight="false" outlineLevel="0" collapsed="false">
      <c r="A31" s="12"/>
      <c r="B31" s="0" t="s">
        <v>54</v>
      </c>
      <c r="C31" s="4" t="n">
        <f aca="false">IF(C30="","",C30/C29-1)</f>
        <v>-0.0369649805447471</v>
      </c>
      <c r="D31" s="4" t="n">
        <f aca="false">IF(D30="","",D30/D29-1)</f>
        <v>-0.063953488372093</v>
      </c>
      <c r="E31" s="4" t="n">
        <f aca="false">IF(E30="","",E30/E29-1)</f>
        <v>-0.2811004784689</v>
      </c>
      <c r="F31" s="4" t="str">
        <f aca="false">IF(F30="","",F30/F29-1)</f>
        <v/>
      </c>
      <c r="G31" s="4" t="str">
        <f aca="false">IF(G30="","",G30/G29-1)</f>
        <v/>
      </c>
      <c r="H31" s="4" t="str">
        <f aca="false">IF(H30="","",H30/H29-1)</f>
        <v/>
      </c>
      <c r="I31" s="4" t="n">
        <f aca="false">IF(SUM(C30:E30)=0,"",SUM(C30:E30)/SUM(C29:E29)-1)</f>
        <v>-0.146221786064769</v>
      </c>
    </row>
    <row r="32" customFormat="false" ht="15" hidden="false" customHeight="false" outlineLevel="0" collapsed="false">
      <c r="A32" s="12"/>
      <c r="B32" s="0" t="s">
        <v>55</v>
      </c>
      <c r="C32" s="3" t="n">
        <v>1100</v>
      </c>
      <c r="D32" s="3" t="n">
        <f aca="false">C33</f>
        <v>1514</v>
      </c>
      <c r="E32" s="3" t="n">
        <f aca="false">D33</f>
        <v>1839</v>
      </c>
      <c r="F32" s="3" t="n">
        <f aca="false">E33</f>
        <v>2462</v>
      </c>
      <c r="G32" s="3" t="n">
        <f aca="false">F33</f>
        <v>4277</v>
      </c>
      <c r="H32" s="3" t="n">
        <f aca="false">G33</f>
        <v>2768</v>
      </c>
      <c r="I32" s="3" t="n">
        <f aca="false">C32</f>
        <v>1100</v>
      </c>
    </row>
    <row r="33" customFormat="false" ht="15" hidden="false" customHeight="false" outlineLevel="0" collapsed="false">
      <c r="A33" s="12"/>
      <c r="B33" s="0" t="s">
        <v>56</v>
      </c>
      <c r="C33" s="3" t="n">
        <v>1514</v>
      </c>
      <c r="D33" s="3" t="n">
        <v>1839</v>
      </c>
      <c r="E33" s="3" t="n">
        <v>2462</v>
      </c>
      <c r="F33" s="3" t="n">
        <v>4277</v>
      </c>
      <c r="G33" s="3" t="n">
        <v>2768</v>
      </c>
      <c r="H33" s="3" t="n">
        <v>1938</v>
      </c>
      <c r="I33" s="3" t="n">
        <f aca="false">H33</f>
        <v>1938</v>
      </c>
    </row>
    <row r="34" customFormat="false" ht="15" hidden="false" customHeight="false" outlineLevel="0" collapsed="false">
      <c r="A34" s="12"/>
      <c r="B34" s="0" t="s">
        <v>6</v>
      </c>
      <c r="C34" s="3" t="n">
        <f aca="false">C29+C33-C32</f>
        <v>928</v>
      </c>
      <c r="D34" s="3" t="n">
        <f aca="false">D29+D33-D32</f>
        <v>1013</v>
      </c>
      <c r="E34" s="3" t="n">
        <f aca="false">E29+E33-E32</f>
        <v>1459</v>
      </c>
      <c r="F34" s="3" t="n">
        <f aca="false">F29+F33-F32</f>
        <v>2934</v>
      </c>
      <c r="G34" s="3" t="n">
        <f aca="false">G29+G33-G32</f>
        <v>435</v>
      </c>
      <c r="H34" s="3" t="n">
        <f aca="false">H29+H33-H32</f>
        <v>428</v>
      </c>
      <c r="I34" s="3" t="n">
        <f aca="false">SUM(C34:H34)</f>
        <v>7197</v>
      </c>
    </row>
    <row r="35" customFormat="false" ht="15" hidden="false" customHeight="false" outlineLevel="0" collapsed="false">
      <c r="A35" s="12"/>
      <c r="B35" s="0" t="s">
        <v>7</v>
      </c>
      <c r="C35" s="3" t="n">
        <v>933</v>
      </c>
      <c r="D35" s="3" t="n">
        <v>1043</v>
      </c>
      <c r="E35" s="3" t="n">
        <v>1363</v>
      </c>
      <c r="F35" s="3" t="n">
        <v>2049</v>
      </c>
      <c r="G35" s="3" t="n">
        <v>196</v>
      </c>
      <c r="H35" s="3" t="n">
        <v>90</v>
      </c>
      <c r="I35" s="3" t="n">
        <f aca="false">SUM(C35:H35)</f>
        <v>5674</v>
      </c>
    </row>
    <row r="36" customFormat="false" ht="15" hidden="false" customHeight="false" outlineLevel="0" collapsed="false">
      <c r="A36" s="12"/>
      <c r="B36" s="0" t="s">
        <v>57</v>
      </c>
      <c r="C36" s="14" t="n">
        <f aca="false">C34-C35</f>
        <v>-5</v>
      </c>
      <c r="D36" s="14" t="n">
        <f aca="false">D34-D35</f>
        <v>-30</v>
      </c>
      <c r="E36" s="14" t="n">
        <f aca="false">E34-E35</f>
        <v>96</v>
      </c>
      <c r="F36" s="14" t="n">
        <f aca="false">F34-F35</f>
        <v>885</v>
      </c>
      <c r="G36" s="14" t="n">
        <f aca="false">G34-G35</f>
        <v>239</v>
      </c>
      <c r="H36" s="14" t="n">
        <f aca="false">H34-H35</f>
        <v>338</v>
      </c>
      <c r="I36" s="3" t="n">
        <f aca="false">SUM(C36:H36)</f>
        <v>1523</v>
      </c>
    </row>
    <row r="37" customFormat="false" ht="15" hidden="false" customHeight="false" outlineLevel="0" collapsed="false">
      <c r="A37" s="12" t="s">
        <v>28</v>
      </c>
      <c r="B37" s="0" t="s">
        <v>2</v>
      </c>
      <c r="C37" s="3" t="n">
        <v>652</v>
      </c>
      <c r="D37" s="3" t="n">
        <v>784</v>
      </c>
      <c r="E37" s="3" t="n">
        <v>1048</v>
      </c>
      <c r="F37" s="3" t="n">
        <v>1346</v>
      </c>
      <c r="G37" s="3" t="n">
        <v>2236</v>
      </c>
      <c r="H37" s="3" t="n">
        <v>1480</v>
      </c>
      <c r="I37" s="3" t="n">
        <f aca="false">SUM(C37:H37)</f>
        <v>7546</v>
      </c>
    </row>
    <row r="38" customFormat="false" ht="15" hidden="false" customHeight="false" outlineLevel="0" collapsed="false">
      <c r="A38" s="12"/>
      <c r="B38" s="0" t="s">
        <v>53</v>
      </c>
      <c r="C38" s="13" t="n">
        <v>582</v>
      </c>
      <c r="D38" s="13" t="n">
        <v>724</v>
      </c>
      <c r="E38" s="13" t="n">
        <v>795</v>
      </c>
      <c r="F38" s="3"/>
      <c r="G38" s="3"/>
      <c r="H38" s="3"/>
      <c r="I38" s="3" t="n">
        <f aca="false">SUM(C38:H38)</f>
        <v>2101</v>
      </c>
    </row>
    <row r="39" customFormat="false" ht="15" hidden="false" customHeight="false" outlineLevel="0" collapsed="false">
      <c r="A39" s="12"/>
      <c r="B39" s="0" t="s">
        <v>54</v>
      </c>
      <c r="C39" s="4" t="n">
        <f aca="false">IF(C38="","",C38/C37-1)</f>
        <v>-0.107361963190184</v>
      </c>
      <c r="D39" s="4" t="n">
        <f aca="false">IF(D38="","",D38/D37-1)</f>
        <v>-0.076530612244898</v>
      </c>
      <c r="E39" s="4" t="n">
        <f aca="false">IF(E38="","",E38/E37-1)</f>
        <v>-0.241412213740458</v>
      </c>
      <c r="F39" s="4" t="str">
        <f aca="false">IF(F38="","",F38/F37-1)</f>
        <v/>
      </c>
      <c r="G39" s="4" t="str">
        <f aca="false">IF(G38="","",G38/G37-1)</f>
        <v/>
      </c>
      <c r="H39" s="4" t="str">
        <f aca="false">IF(H38="","",H38/H37-1)</f>
        <v/>
      </c>
      <c r="I39" s="4" t="n">
        <f aca="false">IF(SUM(C38:E38)=0,"",SUM(C38:E38)/SUM(C37:E37)-1)</f>
        <v>-0.154186795491143</v>
      </c>
    </row>
    <row r="40" customFormat="false" ht="15" hidden="false" customHeight="false" outlineLevel="0" collapsed="false">
      <c r="A40" s="12"/>
      <c r="B40" s="0" t="s">
        <v>55</v>
      </c>
      <c r="C40" s="3" t="n">
        <v>1197</v>
      </c>
      <c r="D40" s="3" t="n">
        <f aca="false">C41</f>
        <v>1411</v>
      </c>
      <c r="E40" s="3" t="n">
        <f aca="false">D41</f>
        <v>1886</v>
      </c>
      <c r="F40" s="3" t="n">
        <f aca="false">E41</f>
        <v>2423</v>
      </c>
      <c r="G40" s="3" t="n">
        <f aca="false">F41</f>
        <v>4025</v>
      </c>
      <c r="H40" s="3" t="n">
        <f aca="false">G41</f>
        <v>2664</v>
      </c>
      <c r="I40" s="3" t="n">
        <f aca="false">C40</f>
        <v>1197</v>
      </c>
    </row>
    <row r="41" customFormat="false" ht="15" hidden="false" customHeight="false" outlineLevel="0" collapsed="false">
      <c r="A41" s="12"/>
      <c r="B41" s="0" t="s">
        <v>56</v>
      </c>
      <c r="C41" s="3" t="n">
        <v>1411</v>
      </c>
      <c r="D41" s="3" t="n">
        <v>1886</v>
      </c>
      <c r="E41" s="3" t="n">
        <v>2423</v>
      </c>
      <c r="F41" s="3" t="n">
        <v>4025</v>
      </c>
      <c r="G41" s="3" t="n">
        <v>2664</v>
      </c>
      <c r="H41" s="3" t="n">
        <v>1865</v>
      </c>
      <c r="I41" s="3" t="n">
        <f aca="false">H41</f>
        <v>1865</v>
      </c>
    </row>
    <row r="42" customFormat="false" ht="15" hidden="false" customHeight="false" outlineLevel="0" collapsed="false">
      <c r="A42" s="12"/>
      <c r="B42" s="0" t="s">
        <v>6</v>
      </c>
      <c r="C42" s="3" t="n">
        <f aca="false">C37+C41-C40</f>
        <v>866</v>
      </c>
      <c r="D42" s="3" t="n">
        <f aca="false">D37+D41-D40</f>
        <v>1259</v>
      </c>
      <c r="E42" s="3" t="n">
        <f aca="false">E37+E41-E40</f>
        <v>1585</v>
      </c>
      <c r="F42" s="3" t="n">
        <f aca="false">F37+F41-F40</f>
        <v>2948</v>
      </c>
      <c r="G42" s="3" t="n">
        <f aca="false">G37+G41-G40</f>
        <v>875</v>
      </c>
      <c r="H42" s="3" t="n">
        <f aca="false">H37+H41-H40</f>
        <v>681</v>
      </c>
      <c r="I42" s="3" t="n">
        <f aca="false">SUM(C42:H42)</f>
        <v>8214</v>
      </c>
    </row>
    <row r="43" customFormat="false" ht="15" hidden="false" customHeight="false" outlineLevel="0" collapsed="false">
      <c r="A43" s="12"/>
      <c r="B43" s="0" t="s">
        <v>7</v>
      </c>
      <c r="C43" s="3" t="n">
        <v>908</v>
      </c>
      <c r="D43" s="3" t="n">
        <v>1301</v>
      </c>
      <c r="E43" s="3" t="n">
        <v>1406</v>
      </c>
      <c r="F43" s="3" t="n">
        <v>2017</v>
      </c>
      <c r="G43" s="3" t="n">
        <v>399</v>
      </c>
      <c r="H43" s="3" t="n">
        <v>132</v>
      </c>
      <c r="I43" s="3" t="n">
        <f aca="false">SUM(C43:H43)</f>
        <v>6163</v>
      </c>
    </row>
    <row r="44" customFormat="false" ht="15" hidden="false" customHeight="false" outlineLevel="0" collapsed="false">
      <c r="A44" s="12"/>
      <c r="B44" s="0" t="s">
        <v>57</v>
      </c>
      <c r="C44" s="14" t="n">
        <f aca="false">C42-C43</f>
        <v>-42</v>
      </c>
      <c r="D44" s="14" t="n">
        <f aca="false">D42-D43</f>
        <v>-42</v>
      </c>
      <c r="E44" s="14" t="n">
        <f aca="false">E42-E43</f>
        <v>179</v>
      </c>
      <c r="F44" s="14" t="n">
        <f aca="false">F42-F43</f>
        <v>931</v>
      </c>
      <c r="G44" s="14" t="n">
        <f aca="false">G42-G43</f>
        <v>476</v>
      </c>
      <c r="H44" s="14" t="n">
        <f aca="false">H42-H43</f>
        <v>549</v>
      </c>
      <c r="I44" s="3" t="n">
        <f aca="false">SUM(C44:H44)</f>
        <v>2051</v>
      </c>
    </row>
    <row r="45" customFormat="false" ht="15" hidden="false" customHeight="false" outlineLevel="0" collapsed="false">
      <c r="A45" s="12" t="s">
        <v>29</v>
      </c>
      <c r="B45" s="0" t="s">
        <v>2</v>
      </c>
      <c r="C45" s="3" t="n">
        <v>74</v>
      </c>
      <c r="D45" s="3" t="n">
        <v>78</v>
      </c>
      <c r="E45" s="3" t="n">
        <v>146</v>
      </c>
      <c r="F45" s="3" t="n">
        <v>217</v>
      </c>
      <c r="G45" s="3" t="n">
        <v>527</v>
      </c>
      <c r="H45" s="3" t="n">
        <v>316</v>
      </c>
      <c r="I45" s="3" t="n">
        <f aca="false">SUM(C45:H45)</f>
        <v>1358</v>
      </c>
    </row>
    <row r="46" customFormat="false" ht="15" hidden="false" customHeight="false" outlineLevel="0" collapsed="false">
      <c r="A46" s="12"/>
      <c r="B46" s="0" t="s">
        <v>53</v>
      </c>
      <c r="C46" s="13" t="n">
        <v>49</v>
      </c>
      <c r="D46" s="13" t="n">
        <v>74</v>
      </c>
      <c r="E46" s="13" t="n">
        <v>90</v>
      </c>
      <c r="F46" s="3"/>
      <c r="G46" s="3"/>
      <c r="H46" s="3"/>
      <c r="I46" s="3" t="n">
        <f aca="false">SUM(C46:H46)</f>
        <v>213</v>
      </c>
    </row>
    <row r="47" customFormat="false" ht="15" hidden="false" customHeight="false" outlineLevel="0" collapsed="false">
      <c r="A47" s="12"/>
      <c r="B47" s="0" t="s">
        <v>54</v>
      </c>
      <c r="C47" s="4" t="n">
        <f aca="false">IF(C46="","",C46/C45-1)</f>
        <v>-0.337837837837838</v>
      </c>
      <c r="D47" s="4" t="n">
        <f aca="false">IF(D46="","",D46/D45-1)</f>
        <v>-0.0512820512820513</v>
      </c>
      <c r="E47" s="4" t="n">
        <f aca="false">IF(E46="","",E46/E45-1)</f>
        <v>-0.383561643835616</v>
      </c>
      <c r="F47" s="4" t="str">
        <f aca="false">IF(F46="","",F46/F45-1)</f>
        <v/>
      </c>
      <c r="G47" s="4" t="str">
        <f aca="false">IF(G46="","",G46/G45-1)</f>
        <v/>
      </c>
      <c r="H47" s="4" t="str">
        <f aca="false">IF(H46="","",H46/H45-1)</f>
        <v/>
      </c>
      <c r="I47" s="4" t="n">
        <f aca="false">IF(SUM(C46:E46)=0,"",SUM(C46:E46)/SUM(C45:E45)-1)</f>
        <v>-0.285234899328859</v>
      </c>
    </row>
    <row r="48" customFormat="false" ht="15" hidden="false" customHeight="false" outlineLevel="0" collapsed="false">
      <c r="A48" s="12"/>
      <c r="B48" s="0" t="s">
        <v>55</v>
      </c>
      <c r="C48" s="3" t="n">
        <v>168</v>
      </c>
      <c r="D48" s="3" t="n">
        <f aca="false">C49</f>
        <v>195</v>
      </c>
      <c r="E48" s="3" t="n">
        <f aca="false">D49</f>
        <v>365</v>
      </c>
      <c r="F48" s="3" t="n">
        <f aca="false">E49</f>
        <v>542</v>
      </c>
      <c r="G48" s="3" t="n">
        <f aca="false">F49</f>
        <v>1318</v>
      </c>
      <c r="H48" s="3" t="n">
        <f aca="false">G49</f>
        <v>790</v>
      </c>
      <c r="I48" s="3" t="n">
        <f aca="false">C48</f>
        <v>168</v>
      </c>
    </row>
    <row r="49" customFormat="false" ht="15" hidden="false" customHeight="false" outlineLevel="0" collapsed="false">
      <c r="A49" s="12"/>
      <c r="B49" s="0" t="s">
        <v>56</v>
      </c>
      <c r="C49" s="3" t="n">
        <v>195</v>
      </c>
      <c r="D49" s="3" t="n">
        <v>365</v>
      </c>
      <c r="E49" s="3" t="n">
        <v>542</v>
      </c>
      <c r="F49" s="3" t="n">
        <v>1318</v>
      </c>
      <c r="G49" s="3" t="n">
        <v>790</v>
      </c>
      <c r="H49" s="3" t="n">
        <v>552</v>
      </c>
      <c r="I49" s="3" t="n">
        <f aca="false">H49</f>
        <v>552</v>
      </c>
    </row>
    <row r="50" customFormat="false" ht="15" hidden="false" customHeight="false" outlineLevel="0" collapsed="false">
      <c r="A50" s="12"/>
      <c r="B50" s="0" t="s">
        <v>6</v>
      </c>
      <c r="C50" s="3" t="n">
        <f aca="false">C45+C49-C48</f>
        <v>101</v>
      </c>
      <c r="D50" s="3" t="n">
        <f aca="false">D45+D49-D48</f>
        <v>248</v>
      </c>
      <c r="E50" s="3" t="n">
        <f aca="false">E45+E49-E48</f>
        <v>323</v>
      </c>
      <c r="F50" s="3" t="n">
        <f aca="false">F45+F49-F48</f>
        <v>993</v>
      </c>
      <c r="G50" s="3" t="n">
        <f aca="false">G45+G49-G48</f>
        <v>-1</v>
      </c>
      <c r="H50" s="3" t="n">
        <f aca="false">H45+H49-H48</f>
        <v>78</v>
      </c>
      <c r="I50" s="3" t="n">
        <f aca="false">SUM(C50:H50)</f>
        <v>1742</v>
      </c>
    </row>
    <row r="51" customFormat="false" ht="15" hidden="false" customHeight="false" outlineLevel="0" collapsed="false">
      <c r="A51" s="12"/>
      <c r="B51" s="0" t="s">
        <v>7</v>
      </c>
      <c r="C51" s="3" t="n">
        <v>99</v>
      </c>
      <c r="D51" s="3" t="n">
        <v>253</v>
      </c>
      <c r="E51" s="3" t="n">
        <v>300</v>
      </c>
      <c r="F51" s="3" t="n">
        <v>725</v>
      </c>
      <c r="G51" s="3" t="n">
        <v>0</v>
      </c>
      <c r="H51" s="3" t="n">
        <v>16</v>
      </c>
      <c r="I51" s="3" t="n">
        <f aca="false">SUM(C51:H51)</f>
        <v>1393</v>
      </c>
    </row>
    <row r="52" customFormat="false" ht="15" hidden="false" customHeight="false" outlineLevel="0" collapsed="false">
      <c r="A52" s="12"/>
      <c r="B52" s="0" t="s">
        <v>57</v>
      </c>
      <c r="C52" s="14" t="n">
        <f aca="false">C50-C51</f>
        <v>2</v>
      </c>
      <c r="D52" s="14" t="n">
        <f aca="false">D50-D51</f>
        <v>-5</v>
      </c>
      <c r="E52" s="14" t="n">
        <f aca="false">E50-E51</f>
        <v>23</v>
      </c>
      <c r="F52" s="14" t="n">
        <f aca="false">F50-F51</f>
        <v>268</v>
      </c>
      <c r="G52" s="14" t="n">
        <f aca="false">G50-G51</f>
        <v>-1</v>
      </c>
      <c r="H52" s="14" t="n">
        <f aca="false">H50-H51</f>
        <v>62</v>
      </c>
      <c r="I52" s="3" t="n">
        <f aca="false">SUM(C52:H52)</f>
        <v>349</v>
      </c>
    </row>
    <row r="53" customFormat="false" ht="15" hidden="false" customHeight="false" outlineLevel="0" collapsed="false">
      <c r="A53" s="15" t="s">
        <v>58</v>
      </c>
      <c r="B53" s="16" t="s">
        <v>2</v>
      </c>
      <c r="C53" s="17" t="n">
        <f aca="false">SUM(C5,C13,C21,C29,C37,C45)</f>
        <v>9245</v>
      </c>
      <c r="D53" s="17" t="n">
        <f aca="false">SUM(D5,D13,D21,D29,D37,D45)</f>
        <v>13103</v>
      </c>
      <c r="E53" s="17" t="n">
        <f aca="false">SUM(E5,E13,E21,E29,E37,E45)</f>
        <v>19765</v>
      </c>
      <c r="F53" s="17" t="n">
        <f aca="false">SUM(F5,F13,F21,F29,F37,F45)</f>
        <v>26343</v>
      </c>
      <c r="G53" s="17" t="n">
        <f aca="false">SUM(G5,G13,G21,G29,G37,G45)</f>
        <v>42833</v>
      </c>
      <c r="H53" s="17" t="n">
        <f aca="false">SUM(H5,H13,H21,H29,H37,H45)</f>
        <v>28011</v>
      </c>
      <c r="I53" s="17" t="n">
        <f aca="false">SUM(I5,I13,I21,I29,I37,I45)</f>
        <v>139300</v>
      </c>
    </row>
    <row r="54" customFormat="false" ht="15" hidden="false" customHeight="false" outlineLevel="0" collapsed="false">
      <c r="A54" s="15"/>
      <c r="B54" s="16" t="s">
        <v>53</v>
      </c>
      <c r="C54" s="17" t="n">
        <f aca="false">SUM(C6,C14,C22,C30,C38,C46)</f>
        <v>7951</v>
      </c>
      <c r="D54" s="17" t="n">
        <f aca="false">SUM(D6,D14,D22,D30,D38,D46)</f>
        <v>12538</v>
      </c>
      <c r="E54" s="17" t="n">
        <f aca="false">SUM(E6,E14,E22,E30,E38,E46)</f>
        <v>13185</v>
      </c>
      <c r="F54" s="17" t="n">
        <f aca="false">SUM(F6,F14,F22,F30,F38,F46)</f>
        <v>0</v>
      </c>
      <c r="G54" s="17" t="n">
        <f aca="false">SUM(G6,G14,G22,G30,G38,G46)</f>
        <v>0</v>
      </c>
      <c r="H54" s="17" t="n">
        <f aca="false">SUM(H6,H14,H22,H30,H38,H46)</f>
        <v>0</v>
      </c>
      <c r="I54" s="17" t="n">
        <f aca="false">SUM(I6,I14,I22,I30,I38,I46)</f>
        <v>33674</v>
      </c>
    </row>
    <row r="55" customFormat="false" ht="15" hidden="false" customHeight="false" outlineLevel="0" collapsed="false">
      <c r="A55" s="15"/>
      <c r="B55" s="16" t="s">
        <v>54</v>
      </c>
      <c r="C55" s="18" t="n">
        <f aca="false">IF(C54=0,"",C54/C53-1)</f>
        <v>-0.139967550027042</v>
      </c>
      <c r="D55" s="18" t="n">
        <f aca="false">IF(D54=0,"",D54/D53-1)</f>
        <v>-0.0431198962069755</v>
      </c>
      <c r="E55" s="18" t="n">
        <f aca="false">IF(E54=0,"",E54/E53-1)</f>
        <v>-0.332911712623324</v>
      </c>
      <c r="F55" s="18" t="str">
        <f aca="false">IF(F54=0,"",F54/F53-1)</f>
        <v/>
      </c>
      <c r="G55" s="18" t="str">
        <f aca="false">IF(G54=0,"",G54/G53-1)</f>
        <v/>
      </c>
      <c r="H55" s="18" t="str">
        <f aca="false">IF(H54=0,"",H54/H53-1)</f>
        <v/>
      </c>
      <c r="I55" s="18" t="n">
        <f aca="false">IF(I54=0,"",I54/I53-1)</f>
        <v>-0.758262742282843</v>
      </c>
    </row>
    <row r="56" customFormat="false" ht="15" hidden="false" customHeight="false" outlineLevel="0" collapsed="false">
      <c r="A56" s="15"/>
      <c r="B56" s="16" t="s">
        <v>55</v>
      </c>
      <c r="C56" s="17" t="n">
        <f aca="false">SUM(C8,C16,C24,C32,C40,C48)</f>
        <v>18326</v>
      </c>
      <c r="D56" s="17" t="n">
        <f aca="false">SUM(D8,D16,D24,D32,D40,D48)</f>
        <v>29368</v>
      </c>
      <c r="E56" s="17" t="n">
        <f aca="false">SUM(E8,E16,E24,E32,E40,E48)</f>
        <v>45056</v>
      </c>
      <c r="F56" s="17" t="n">
        <f aca="false">SUM(F8,F16,F24,F32,F40,F48)</f>
        <v>60394</v>
      </c>
      <c r="G56" s="17" t="n">
        <f aca="false">SUM(G8,G16,G24,G32,G40,G48)</f>
        <v>98402</v>
      </c>
      <c r="H56" s="17" t="n">
        <f aca="false">SUM(H8,H16,H24,H32,H40,H48)</f>
        <v>64274</v>
      </c>
      <c r="I56" s="17" t="n">
        <f aca="false">SUM(I8,I16,I24,I32,I40,I48)</f>
        <v>18326</v>
      </c>
    </row>
    <row r="57" customFormat="false" ht="15" hidden="false" customHeight="false" outlineLevel="0" collapsed="false">
      <c r="A57" s="15"/>
      <c r="B57" s="16" t="s">
        <v>56</v>
      </c>
      <c r="C57" s="17" t="n">
        <f aca="false">SUM(C9,C17,C25,C33,C41,C49)</f>
        <v>29368</v>
      </c>
      <c r="D57" s="17" t="n">
        <f aca="false">SUM(D9,D17,D25,D33,D41,D49)</f>
        <v>45056</v>
      </c>
      <c r="E57" s="17" t="n">
        <f aca="false">SUM(E9,E17,E25,E33,E41,E49)</f>
        <v>60394</v>
      </c>
      <c r="F57" s="17" t="n">
        <f aca="false">SUM(F9,F17,F25,F33,F41,F49)</f>
        <v>98402</v>
      </c>
      <c r="G57" s="17" t="n">
        <f aca="false">SUM(G9,G17,G25,G33,G41,G49)</f>
        <v>64274</v>
      </c>
      <c r="H57" s="17" t="n">
        <f aca="false">SUM(H9,H17,H25,H33,H41,H49)</f>
        <v>44992</v>
      </c>
      <c r="I57" s="17" t="n">
        <f aca="false">SUM(I9,I17,I25,I33,I41,I49)</f>
        <v>44992</v>
      </c>
    </row>
    <row r="58" customFormat="false" ht="15" hidden="false" customHeight="false" outlineLevel="0" collapsed="false">
      <c r="A58" s="15"/>
      <c r="B58" s="16" t="s">
        <v>6</v>
      </c>
      <c r="C58" s="17" t="n">
        <f aca="false">SUM(C10,C18,C26,C34,C42,C50)</f>
        <v>20287</v>
      </c>
      <c r="D58" s="17" t="n">
        <f aca="false">SUM(D10,D18,D26,D34,D42,D50)</f>
        <v>28791</v>
      </c>
      <c r="E58" s="17" t="n">
        <f aca="false">SUM(E10,E18,E26,E34,E42,E50)</f>
        <v>35103</v>
      </c>
      <c r="F58" s="17" t="n">
        <f aca="false">SUM(F10,F18,F26,F34,F42,F50)</f>
        <v>64351</v>
      </c>
      <c r="G58" s="17" t="n">
        <f aca="false">SUM(G10,G18,G26,G34,G42,G50)</f>
        <v>8705</v>
      </c>
      <c r="H58" s="17" t="n">
        <f aca="false">SUM(H10,H18,H26,H34,H42,H50)</f>
        <v>8729</v>
      </c>
      <c r="I58" s="17" t="n">
        <f aca="false">SUM(I10,I18,I26,I34,I42,I50)</f>
        <v>165966</v>
      </c>
    </row>
    <row r="59" customFormat="false" ht="15" hidden="false" customHeight="false" outlineLevel="0" collapsed="false">
      <c r="A59" s="15"/>
      <c r="B59" s="16" t="s">
        <v>7</v>
      </c>
      <c r="C59" s="17" t="n">
        <f aca="false">SUM(C11,C19,C27,C35,C43,C51)</f>
        <v>21073</v>
      </c>
      <c r="D59" s="17" t="n">
        <f aca="false">SUM(D11,D19,D27,D35,D43,D51)</f>
        <v>28724</v>
      </c>
      <c r="E59" s="17" t="n">
        <f aca="false">SUM(E11,E19,E27,E35,E43,E51)</f>
        <v>32024</v>
      </c>
      <c r="F59" s="17" t="n">
        <f aca="false">SUM(F11,F19,F27,F35,F43,F51)</f>
        <v>43274</v>
      </c>
      <c r="G59" s="17" t="n">
        <f aca="false">SUM(G11,G19,G27,G35,G43,G51)</f>
        <v>3900</v>
      </c>
      <c r="H59" s="17" t="n">
        <f aca="false">SUM(H11,H19,H27,H35,H43,H51)</f>
        <v>1726</v>
      </c>
      <c r="I59" s="17" t="n">
        <f aca="false">SUM(I11,I19,I27,I35,I43,I51)</f>
        <v>130721</v>
      </c>
    </row>
    <row r="60" customFormat="false" ht="15" hidden="false" customHeight="false" outlineLevel="0" collapsed="false">
      <c r="A60" s="15"/>
      <c r="B60" s="16" t="s">
        <v>57</v>
      </c>
      <c r="C60" s="17" t="n">
        <f aca="false">SUM(C12,C20,C28,C36,C44,C52)</f>
        <v>-786</v>
      </c>
      <c r="D60" s="17" t="n">
        <f aca="false">SUM(D12,D20,D28,D36,D44,D52)</f>
        <v>67</v>
      </c>
      <c r="E60" s="17" t="n">
        <f aca="false">SUM(E12,E20,E28,E36,E44,E52)</f>
        <v>3079</v>
      </c>
      <c r="F60" s="17" t="n">
        <f aca="false">SUM(F12,F20,F28,F36,F44,F52)</f>
        <v>21077</v>
      </c>
      <c r="G60" s="17" t="n">
        <f aca="false">SUM(G12,G20,G28,G36,G44,G52)</f>
        <v>4805</v>
      </c>
      <c r="H60" s="17" t="n">
        <f aca="false">SUM(H12,H20,H28,H36,H44,H52)</f>
        <v>7003</v>
      </c>
      <c r="I60" s="17" t="n">
        <f aca="false">SUM(I12,I20,I28,I36,I44,I52)</f>
        <v>35245</v>
      </c>
    </row>
  </sheetData>
  <mergeCells count="9">
    <mergeCell ref="C3:D3"/>
    <mergeCell ref="E3:G3"/>
    <mergeCell ref="A5:A12"/>
    <mergeCell ref="A13:A20"/>
    <mergeCell ref="A21:A28"/>
    <mergeCell ref="A29:A36"/>
    <mergeCell ref="A37:A44"/>
    <mergeCell ref="A45:A52"/>
    <mergeCell ref="A53:A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9" min="3" style="0" width="11"/>
  </cols>
  <sheetData>
    <row r="1" customFormat="false" ht="16.15" hidden="false" customHeight="false" outlineLevel="0" collapsed="false">
      <c r="A1" s="8" t="s">
        <v>59</v>
      </c>
    </row>
    <row r="2" customFormat="false" ht="15" hidden="false" customHeight="false" outlineLevel="0" collapsed="false">
      <c r="A2" s="0" t="s">
        <v>40</v>
      </c>
    </row>
    <row r="3" customFormat="false" ht="15" hidden="false" customHeight="false" outlineLevel="0" collapsed="false">
      <c r="C3" s="9" t="s">
        <v>41</v>
      </c>
      <c r="D3" s="9"/>
      <c r="E3" s="9" t="s">
        <v>42</v>
      </c>
      <c r="F3" s="9"/>
      <c r="G3" s="9"/>
      <c r="H3" s="10" t="s">
        <v>43</v>
      </c>
      <c r="I3" s="10" t="s">
        <v>44</v>
      </c>
    </row>
    <row r="4" customFormat="false" ht="15" hidden="false" customHeight="false" outlineLevel="0" collapsed="false">
      <c r="A4" s="0" t="s">
        <v>21</v>
      </c>
      <c r="B4" s="0" t="s">
        <v>45</v>
      </c>
      <c r="C4" s="11" t="s">
        <v>46</v>
      </c>
      <c r="D4" s="11" t="s">
        <v>47</v>
      </c>
      <c r="E4" s="11" t="s">
        <v>48</v>
      </c>
      <c r="F4" s="11" t="s">
        <v>49</v>
      </c>
      <c r="G4" s="11" t="s">
        <v>50</v>
      </c>
      <c r="H4" s="11" t="s">
        <v>51</v>
      </c>
      <c r="I4" s="11" t="s">
        <v>52</v>
      </c>
    </row>
    <row r="5" customFormat="false" ht="15" hidden="false" customHeight="false" outlineLevel="0" collapsed="false">
      <c r="A5" s="12" t="s">
        <v>24</v>
      </c>
      <c r="B5" s="0" t="s">
        <v>2</v>
      </c>
      <c r="C5" s="3" t="n">
        <v>1524</v>
      </c>
      <c r="D5" s="3" t="n">
        <v>2374</v>
      </c>
      <c r="E5" s="3" t="n">
        <v>3781</v>
      </c>
      <c r="F5" s="3" t="n">
        <v>5805</v>
      </c>
      <c r="G5" s="3" t="n">
        <v>8656</v>
      </c>
      <c r="H5" s="3" t="n">
        <v>5855</v>
      </c>
      <c r="I5" s="3" t="n">
        <f aca="false">SUM(C5:H5)</f>
        <v>27995</v>
      </c>
    </row>
    <row r="6" customFormat="false" ht="15" hidden="false" customHeight="false" outlineLevel="0" collapsed="false">
      <c r="A6" s="12"/>
      <c r="B6" s="0" t="s">
        <v>53</v>
      </c>
      <c r="C6" s="13" t="n">
        <v>1352</v>
      </c>
      <c r="D6" s="13" t="n">
        <v>2330</v>
      </c>
      <c r="E6" s="13" t="n">
        <v>2421</v>
      </c>
      <c r="F6" s="3"/>
      <c r="G6" s="3"/>
      <c r="H6" s="3"/>
      <c r="I6" s="3" t="n">
        <f aca="false">SUM(C6:H6)</f>
        <v>6103</v>
      </c>
    </row>
    <row r="7" customFormat="false" ht="15" hidden="false" customHeight="false" outlineLevel="0" collapsed="false">
      <c r="A7" s="12"/>
      <c r="B7" s="0" t="s">
        <v>54</v>
      </c>
      <c r="C7" s="4" t="n">
        <f aca="false">IF(C6="","",C6/C5-1)</f>
        <v>-0.112860892388451</v>
      </c>
      <c r="D7" s="4" t="n">
        <f aca="false">IF(D6="","",D6/D5-1)</f>
        <v>-0.0185341196293176</v>
      </c>
      <c r="E7" s="4" t="n">
        <f aca="false">IF(E6="","",E6/E5-1)</f>
        <v>-0.359693202856387</v>
      </c>
      <c r="F7" s="4" t="str">
        <f aca="false">IF(F6="","",F6/F5-1)</f>
        <v/>
      </c>
      <c r="G7" s="4" t="str">
        <f aca="false">IF(G6="","",G6/G5-1)</f>
        <v/>
      </c>
      <c r="H7" s="4" t="str">
        <f aca="false">IF(H6="","",H6/H5-1)</f>
        <v/>
      </c>
      <c r="I7" s="4" t="n">
        <f aca="false">IF(SUM(C6:E6)=0,"",SUM(C6:E6)/SUM(C5:E5)-1)</f>
        <v>-0.205235056648001</v>
      </c>
    </row>
    <row r="8" customFormat="false" ht="15" hidden="false" customHeight="false" outlineLevel="0" collapsed="false">
      <c r="A8" s="12"/>
      <c r="B8" s="0" t="s">
        <v>55</v>
      </c>
      <c r="C8" s="3" t="n">
        <v>3565</v>
      </c>
      <c r="D8" s="3" t="n">
        <f aca="false">C9</f>
        <v>5698</v>
      </c>
      <c r="E8" s="3" t="n">
        <f aca="false">D9</f>
        <v>9074</v>
      </c>
      <c r="F8" s="3" t="n">
        <f aca="false">E9</f>
        <v>13932</v>
      </c>
      <c r="G8" s="3" t="n">
        <f aca="false">F9</f>
        <v>20774</v>
      </c>
      <c r="H8" s="3" t="n">
        <f aca="false">G9</f>
        <v>14052</v>
      </c>
      <c r="I8" s="3" t="n">
        <f aca="false">C8</f>
        <v>3565</v>
      </c>
    </row>
    <row r="9" customFormat="false" ht="15" hidden="false" customHeight="false" outlineLevel="0" collapsed="false">
      <c r="A9" s="12"/>
      <c r="B9" s="0" t="s">
        <v>56</v>
      </c>
      <c r="C9" s="3" t="n">
        <v>5698</v>
      </c>
      <c r="D9" s="3" t="n">
        <v>9074</v>
      </c>
      <c r="E9" s="3" t="n">
        <v>13932</v>
      </c>
      <c r="F9" s="3" t="n">
        <v>20774</v>
      </c>
      <c r="G9" s="3" t="n">
        <v>14052</v>
      </c>
      <c r="H9" s="3" t="n">
        <v>9835</v>
      </c>
      <c r="I9" s="3" t="n">
        <f aca="false">H9</f>
        <v>9835</v>
      </c>
    </row>
    <row r="10" customFormat="false" ht="15" hidden="false" customHeight="false" outlineLevel="0" collapsed="false">
      <c r="A10" s="12"/>
      <c r="B10" s="0" t="s">
        <v>6</v>
      </c>
      <c r="C10" s="3" t="n">
        <f aca="false">C5+C9-C8</f>
        <v>3657</v>
      </c>
      <c r="D10" s="3" t="n">
        <f aca="false">D5+D9-D8</f>
        <v>5750</v>
      </c>
      <c r="E10" s="3" t="n">
        <f aca="false">E5+E9-E8</f>
        <v>8639</v>
      </c>
      <c r="F10" s="3" t="n">
        <f aca="false">F5+F9-F8</f>
        <v>12647</v>
      </c>
      <c r="G10" s="3" t="n">
        <f aca="false">G5+G9-G8</f>
        <v>1934</v>
      </c>
      <c r="H10" s="3" t="n">
        <f aca="false">H5+H9-H8</f>
        <v>1638</v>
      </c>
      <c r="I10" s="3" t="n">
        <f aca="false">SUM(C10:H10)</f>
        <v>34265</v>
      </c>
    </row>
    <row r="11" customFormat="false" ht="15" hidden="false" customHeight="false" outlineLevel="0" collapsed="false">
      <c r="A11" s="12"/>
      <c r="B11" s="0" t="s">
        <v>7</v>
      </c>
      <c r="C11" s="3" t="n">
        <v>3628</v>
      </c>
      <c r="D11" s="3" t="n">
        <v>5675</v>
      </c>
      <c r="E11" s="3" t="n">
        <v>8336</v>
      </c>
      <c r="F11" s="3" t="n">
        <v>9000</v>
      </c>
      <c r="G11" s="3" t="n">
        <v>853</v>
      </c>
      <c r="H11" s="3" t="n">
        <v>315</v>
      </c>
      <c r="I11" s="3" t="n">
        <f aca="false">SUM(C11:H11)</f>
        <v>27807</v>
      </c>
    </row>
    <row r="12" customFormat="false" ht="15" hidden="false" customHeight="false" outlineLevel="0" collapsed="false">
      <c r="A12" s="12"/>
      <c r="B12" s="0" t="s">
        <v>57</v>
      </c>
      <c r="C12" s="14" t="n">
        <f aca="false">C10-C11</f>
        <v>29</v>
      </c>
      <c r="D12" s="14" t="n">
        <f aca="false">D10-D11</f>
        <v>75</v>
      </c>
      <c r="E12" s="14" t="n">
        <f aca="false">E10-E11</f>
        <v>303</v>
      </c>
      <c r="F12" s="14" t="n">
        <f aca="false">F10-F11</f>
        <v>3647</v>
      </c>
      <c r="G12" s="14" t="n">
        <f aca="false">G10-G11</f>
        <v>1081</v>
      </c>
      <c r="H12" s="14" t="n">
        <f aca="false">H10-H11</f>
        <v>1323</v>
      </c>
      <c r="I12" s="3" t="n">
        <f aca="false">SUM(C12:H12)</f>
        <v>6458</v>
      </c>
    </row>
    <row r="13" customFormat="false" ht="15" hidden="false" customHeight="false" outlineLevel="0" collapsed="false">
      <c r="A13" s="12" t="s">
        <v>25</v>
      </c>
      <c r="B13" s="0" t="s">
        <v>2</v>
      </c>
      <c r="C13" s="3" t="n">
        <v>282</v>
      </c>
      <c r="D13" s="3" t="n">
        <v>372</v>
      </c>
      <c r="E13" s="3" t="n">
        <v>409</v>
      </c>
      <c r="F13" s="3" t="n">
        <v>497</v>
      </c>
      <c r="G13" s="3" t="n">
        <v>818</v>
      </c>
      <c r="H13" s="3" t="n">
        <v>576</v>
      </c>
      <c r="I13" s="3" t="n">
        <f aca="false">SUM(C13:H13)</f>
        <v>2954</v>
      </c>
    </row>
    <row r="14" customFormat="false" ht="15" hidden="false" customHeight="false" outlineLevel="0" collapsed="false">
      <c r="A14" s="12"/>
      <c r="B14" s="0" t="s">
        <v>53</v>
      </c>
      <c r="C14" s="13" t="n">
        <v>280</v>
      </c>
      <c r="D14" s="13" t="n">
        <v>358</v>
      </c>
      <c r="E14" s="13" t="n">
        <v>304</v>
      </c>
      <c r="F14" s="3"/>
      <c r="G14" s="3"/>
      <c r="H14" s="3"/>
      <c r="I14" s="3" t="n">
        <f aca="false">SUM(C14:H14)</f>
        <v>942</v>
      </c>
    </row>
    <row r="15" customFormat="false" ht="15" hidden="false" customHeight="false" outlineLevel="0" collapsed="false">
      <c r="A15" s="12"/>
      <c r="B15" s="0" t="s">
        <v>54</v>
      </c>
      <c r="C15" s="4" t="n">
        <f aca="false">IF(C14="","",C14/C13-1)</f>
        <v>-0.00709219858156029</v>
      </c>
      <c r="D15" s="4" t="n">
        <f aca="false">IF(D14="","",D14/D13-1)</f>
        <v>-0.0376344086021505</v>
      </c>
      <c r="E15" s="4" t="n">
        <f aca="false">IF(E14="","",E14/E13-1)</f>
        <v>-0.256723716381418</v>
      </c>
      <c r="F15" s="4" t="str">
        <f aca="false">IF(F14="","",F14/F13-1)</f>
        <v/>
      </c>
      <c r="G15" s="4" t="str">
        <f aca="false">IF(G14="","",G14/G13-1)</f>
        <v/>
      </c>
      <c r="H15" s="4" t="str">
        <f aca="false">IF(H14="","",H14/H13-1)</f>
        <v/>
      </c>
      <c r="I15" s="4" t="n">
        <f aca="false">IF(SUM(C14:E14)=0,"",SUM(C14:E14)/SUM(C13:E13)-1)</f>
        <v>-0.113828786453434</v>
      </c>
    </row>
    <row r="16" customFormat="false" ht="15" hidden="false" customHeight="false" outlineLevel="0" collapsed="false">
      <c r="A16" s="12"/>
      <c r="B16" s="0" t="s">
        <v>55</v>
      </c>
      <c r="C16" s="3" t="n">
        <v>574</v>
      </c>
      <c r="D16" s="3" t="n">
        <f aca="false">C17</f>
        <v>744</v>
      </c>
      <c r="E16" s="3" t="n">
        <f aca="false">D17</f>
        <v>818</v>
      </c>
      <c r="F16" s="3" t="n">
        <f aca="false">E17</f>
        <v>994</v>
      </c>
      <c r="G16" s="3" t="n">
        <f aca="false">F17</f>
        <v>1636</v>
      </c>
      <c r="H16" s="3" t="n">
        <f aca="false">G17</f>
        <v>1152</v>
      </c>
      <c r="I16" s="3" t="n">
        <f aca="false">C16</f>
        <v>574</v>
      </c>
    </row>
    <row r="17" customFormat="false" ht="15" hidden="false" customHeight="false" outlineLevel="0" collapsed="false">
      <c r="A17" s="12"/>
      <c r="B17" s="0" t="s">
        <v>56</v>
      </c>
      <c r="C17" s="3" t="n">
        <v>744</v>
      </c>
      <c r="D17" s="3" t="n">
        <v>818</v>
      </c>
      <c r="E17" s="3" t="n">
        <v>994</v>
      </c>
      <c r="F17" s="3" t="n">
        <v>1636</v>
      </c>
      <c r="G17" s="3" t="n">
        <v>1152</v>
      </c>
      <c r="H17" s="3" t="n">
        <v>806</v>
      </c>
      <c r="I17" s="3" t="n">
        <f aca="false">H17</f>
        <v>806</v>
      </c>
    </row>
    <row r="18" customFormat="false" ht="15" hidden="false" customHeight="false" outlineLevel="0" collapsed="false">
      <c r="A18" s="12"/>
      <c r="B18" s="0" t="s">
        <v>6</v>
      </c>
      <c r="C18" s="3" t="n">
        <f aca="false">C13+C17-C16</f>
        <v>452</v>
      </c>
      <c r="D18" s="3" t="n">
        <f aca="false">D13+D17-D16</f>
        <v>446</v>
      </c>
      <c r="E18" s="3" t="n">
        <f aca="false">E13+E17-E16</f>
        <v>585</v>
      </c>
      <c r="F18" s="3" t="n">
        <f aca="false">F13+F17-F16</f>
        <v>1139</v>
      </c>
      <c r="G18" s="3" t="n">
        <f aca="false">G13+G17-G16</f>
        <v>334</v>
      </c>
      <c r="H18" s="3" t="n">
        <f aca="false">H13+H17-H16</f>
        <v>230</v>
      </c>
      <c r="I18" s="3" t="n">
        <f aca="false">SUM(C18:H18)</f>
        <v>3186</v>
      </c>
    </row>
    <row r="19" customFormat="false" ht="15" hidden="false" customHeight="false" outlineLevel="0" collapsed="false">
      <c r="A19" s="12"/>
      <c r="B19" s="0" t="s">
        <v>7</v>
      </c>
      <c r="C19" s="3" t="n">
        <v>466</v>
      </c>
      <c r="D19" s="3" t="n">
        <v>441</v>
      </c>
      <c r="E19" s="3" t="n">
        <v>511</v>
      </c>
      <c r="F19" s="3" t="n">
        <v>801</v>
      </c>
      <c r="G19" s="3" t="n">
        <v>146</v>
      </c>
      <c r="H19" s="3" t="n">
        <v>44</v>
      </c>
      <c r="I19" s="3" t="n">
        <f aca="false">SUM(C19:H19)</f>
        <v>2409</v>
      </c>
    </row>
    <row r="20" customFormat="false" ht="15" hidden="false" customHeight="false" outlineLevel="0" collapsed="false">
      <c r="A20" s="12"/>
      <c r="B20" s="0" t="s">
        <v>57</v>
      </c>
      <c r="C20" s="14" t="n">
        <f aca="false">C18-C19</f>
        <v>-14</v>
      </c>
      <c r="D20" s="14" t="n">
        <f aca="false">D18-D19</f>
        <v>5</v>
      </c>
      <c r="E20" s="14" t="n">
        <f aca="false">E18-E19</f>
        <v>74</v>
      </c>
      <c r="F20" s="14" t="n">
        <f aca="false">F18-F19</f>
        <v>338</v>
      </c>
      <c r="G20" s="14" t="n">
        <f aca="false">G18-G19</f>
        <v>188</v>
      </c>
      <c r="H20" s="14" t="n">
        <f aca="false">H18-H19</f>
        <v>186</v>
      </c>
      <c r="I20" s="3" t="n">
        <f aca="false">SUM(C20:H20)</f>
        <v>777</v>
      </c>
    </row>
    <row r="21" customFormat="false" ht="15" hidden="false" customHeight="false" outlineLevel="0" collapsed="false">
      <c r="A21" s="12" t="s">
        <v>26</v>
      </c>
      <c r="B21" s="0" t="s">
        <v>2</v>
      </c>
      <c r="C21" s="3" t="n">
        <v>357</v>
      </c>
      <c r="D21" s="3" t="n">
        <v>341</v>
      </c>
      <c r="E21" s="3" t="n">
        <v>344</v>
      </c>
      <c r="F21" s="3" t="n">
        <v>392</v>
      </c>
      <c r="G21" s="3" t="n">
        <v>518</v>
      </c>
      <c r="H21" s="3" t="n">
        <v>400</v>
      </c>
      <c r="I21" s="3" t="n">
        <f aca="false">SUM(C21:H21)</f>
        <v>2352</v>
      </c>
    </row>
    <row r="22" customFormat="false" ht="15" hidden="false" customHeight="false" outlineLevel="0" collapsed="false">
      <c r="A22" s="12"/>
      <c r="B22" s="0" t="s">
        <v>53</v>
      </c>
      <c r="C22" s="13" t="n">
        <v>366</v>
      </c>
      <c r="D22" s="13" t="n">
        <v>324</v>
      </c>
      <c r="E22" s="13" t="n">
        <v>250</v>
      </c>
      <c r="F22" s="3"/>
      <c r="G22" s="3"/>
      <c r="H22" s="3"/>
      <c r="I22" s="3" t="n">
        <f aca="false">SUM(C22:H22)</f>
        <v>940</v>
      </c>
    </row>
    <row r="23" customFormat="false" ht="15" hidden="false" customHeight="false" outlineLevel="0" collapsed="false">
      <c r="A23" s="12"/>
      <c r="B23" s="0" t="s">
        <v>54</v>
      </c>
      <c r="C23" s="4" t="n">
        <f aca="false">IF(C22="","",C22/C21-1)</f>
        <v>0.0252100840336134</v>
      </c>
      <c r="D23" s="4" t="n">
        <f aca="false">IF(D22="","",D22/D21-1)</f>
        <v>-0.0498533724340176</v>
      </c>
      <c r="E23" s="4" t="n">
        <f aca="false">IF(E22="","",E22/E21-1)</f>
        <v>-0.273255813953488</v>
      </c>
      <c r="F23" s="4" t="str">
        <f aca="false">IF(F22="","",F22/F21-1)</f>
        <v/>
      </c>
      <c r="G23" s="4" t="str">
        <f aca="false">IF(G22="","",G22/G21-1)</f>
        <v/>
      </c>
      <c r="H23" s="4" t="str">
        <f aca="false">IF(H22="","",H22/H21-1)</f>
        <v/>
      </c>
      <c r="I23" s="4" t="n">
        <f aca="false">IF(SUM(C22:E22)=0,"",SUM(C22:E22)/SUM(C21:E21)-1)</f>
        <v>-0.0978886756238004</v>
      </c>
    </row>
    <row r="24" customFormat="false" ht="15" hidden="false" customHeight="false" outlineLevel="0" collapsed="false">
      <c r="A24" s="12"/>
      <c r="B24" s="0" t="s">
        <v>55</v>
      </c>
      <c r="C24" s="3" t="n">
        <v>599</v>
      </c>
      <c r="D24" s="3" t="n">
        <f aca="false">C25</f>
        <v>546</v>
      </c>
      <c r="E24" s="3" t="n">
        <f aca="false">D25</f>
        <v>550</v>
      </c>
      <c r="F24" s="3" t="n">
        <f aca="false">E25</f>
        <v>627</v>
      </c>
      <c r="G24" s="3" t="n">
        <f aca="false">F25</f>
        <v>829</v>
      </c>
      <c r="H24" s="3" t="n">
        <f aca="false">G25</f>
        <v>640</v>
      </c>
      <c r="I24" s="3" t="n">
        <f aca="false">C24</f>
        <v>599</v>
      </c>
    </row>
    <row r="25" customFormat="false" ht="15" hidden="false" customHeight="false" outlineLevel="0" collapsed="false">
      <c r="A25" s="12"/>
      <c r="B25" s="0" t="s">
        <v>56</v>
      </c>
      <c r="C25" s="3" t="n">
        <v>546</v>
      </c>
      <c r="D25" s="3" t="n">
        <v>550</v>
      </c>
      <c r="E25" s="3" t="n">
        <v>627</v>
      </c>
      <c r="F25" s="3" t="n">
        <v>829</v>
      </c>
      <c r="G25" s="3" t="n">
        <v>640</v>
      </c>
      <c r="H25" s="3" t="n">
        <v>448</v>
      </c>
      <c r="I25" s="3" t="n">
        <f aca="false">H25</f>
        <v>448</v>
      </c>
    </row>
    <row r="26" customFormat="false" ht="15" hidden="false" customHeight="false" outlineLevel="0" collapsed="false">
      <c r="A26" s="12"/>
      <c r="B26" s="0" t="s">
        <v>6</v>
      </c>
      <c r="C26" s="3" t="n">
        <f aca="false">C21+C25-C24</f>
        <v>304</v>
      </c>
      <c r="D26" s="3" t="n">
        <f aca="false">D21+D25-D24</f>
        <v>345</v>
      </c>
      <c r="E26" s="3" t="n">
        <f aca="false">E21+E25-E24</f>
        <v>421</v>
      </c>
      <c r="F26" s="3" t="n">
        <f aca="false">F21+F25-F24</f>
        <v>594</v>
      </c>
      <c r="G26" s="3" t="n">
        <f aca="false">G21+G25-G24</f>
        <v>329</v>
      </c>
      <c r="H26" s="3" t="n">
        <f aca="false">H21+H25-H24</f>
        <v>208</v>
      </c>
      <c r="I26" s="3" t="n">
        <f aca="false">SUM(C26:H26)</f>
        <v>2201</v>
      </c>
    </row>
    <row r="27" customFormat="false" ht="15" hidden="false" customHeight="false" outlineLevel="0" collapsed="false">
      <c r="A27" s="12"/>
      <c r="B27" s="0" t="s">
        <v>7</v>
      </c>
      <c r="C27" s="3" t="n">
        <v>317</v>
      </c>
      <c r="D27" s="3" t="n">
        <v>355</v>
      </c>
      <c r="E27" s="3" t="n">
        <v>392</v>
      </c>
      <c r="F27" s="3" t="n">
        <v>410</v>
      </c>
      <c r="G27" s="3" t="n">
        <v>142</v>
      </c>
      <c r="H27" s="3" t="n">
        <v>42</v>
      </c>
      <c r="I27" s="3" t="n">
        <f aca="false">SUM(C27:H27)</f>
        <v>1658</v>
      </c>
    </row>
    <row r="28" customFormat="false" ht="15" hidden="false" customHeight="false" outlineLevel="0" collapsed="false">
      <c r="A28" s="12"/>
      <c r="B28" s="0" t="s">
        <v>57</v>
      </c>
      <c r="C28" s="14" t="n">
        <f aca="false">C26-C27</f>
        <v>-13</v>
      </c>
      <c r="D28" s="14" t="n">
        <f aca="false">D26-D27</f>
        <v>-10</v>
      </c>
      <c r="E28" s="14" t="n">
        <f aca="false">E26-E27</f>
        <v>29</v>
      </c>
      <c r="F28" s="14" t="n">
        <f aca="false">F26-F27</f>
        <v>184</v>
      </c>
      <c r="G28" s="14" t="n">
        <f aca="false">G26-G27</f>
        <v>187</v>
      </c>
      <c r="H28" s="14" t="n">
        <f aca="false">H26-H27</f>
        <v>166</v>
      </c>
      <c r="I28" s="3" t="n">
        <f aca="false">SUM(C28:H28)</f>
        <v>543</v>
      </c>
    </row>
    <row r="29" customFormat="false" ht="15" hidden="false" customHeight="false" outlineLevel="0" collapsed="false">
      <c r="A29" s="12" t="s">
        <v>27</v>
      </c>
      <c r="B29" s="0" t="s">
        <v>2</v>
      </c>
      <c r="C29" s="3" t="n">
        <v>145</v>
      </c>
      <c r="D29" s="3" t="n">
        <v>173</v>
      </c>
      <c r="E29" s="3" t="n">
        <v>219</v>
      </c>
      <c r="F29" s="3" t="n">
        <v>270</v>
      </c>
      <c r="G29" s="3" t="n">
        <v>472</v>
      </c>
      <c r="H29" s="3" t="n">
        <v>331</v>
      </c>
      <c r="I29" s="3" t="n">
        <f aca="false">SUM(C29:H29)</f>
        <v>1610</v>
      </c>
    </row>
    <row r="30" customFormat="false" ht="15" hidden="false" customHeight="false" outlineLevel="0" collapsed="false">
      <c r="A30" s="12"/>
      <c r="B30" s="0" t="s">
        <v>53</v>
      </c>
      <c r="C30" s="13" t="n">
        <v>112</v>
      </c>
      <c r="D30" s="13" t="n">
        <v>159</v>
      </c>
      <c r="E30" s="13" t="n">
        <v>161</v>
      </c>
      <c r="F30" s="3"/>
      <c r="G30" s="3"/>
      <c r="H30" s="3"/>
      <c r="I30" s="3" t="n">
        <f aca="false">SUM(C30:H30)</f>
        <v>432</v>
      </c>
    </row>
    <row r="31" customFormat="false" ht="15" hidden="false" customHeight="false" outlineLevel="0" collapsed="false">
      <c r="A31" s="12"/>
      <c r="B31" s="0" t="s">
        <v>54</v>
      </c>
      <c r="C31" s="4" t="n">
        <f aca="false">IF(C30="","",C30/C29-1)</f>
        <v>-0.227586206896552</v>
      </c>
      <c r="D31" s="4" t="n">
        <f aca="false">IF(D30="","",D30/D29-1)</f>
        <v>-0.0809248554913294</v>
      </c>
      <c r="E31" s="4" t="n">
        <f aca="false">IF(E30="","",E30/E29-1)</f>
        <v>-0.264840182648402</v>
      </c>
      <c r="F31" s="4" t="str">
        <f aca="false">IF(F30="","",F30/F29-1)</f>
        <v/>
      </c>
      <c r="G31" s="4" t="str">
        <f aca="false">IF(G30="","",G30/G29-1)</f>
        <v/>
      </c>
      <c r="H31" s="4" t="str">
        <f aca="false">IF(H30="","",H30/H29-1)</f>
        <v/>
      </c>
      <c r="I31" s="4" t="n">
        <f aca="false">IF(SUM(C30:E30)=0,"",SUM(C30:E30)/SUM(C29:E29)-1)</f>
        <v>-0.195530726256983</v>
      </c>
    </row>
    <row r="32" customFormat="false" ht="15" hidden="false" customHeight="false" outlineLevel="0" collapsed="false">
      <c r="A32" s="12"/>
      <c r="B32" s="0" t="s">
        <v>55</v>
      </c>
      <c r="C32" s="3" t="n">
        <v>287</v>
      </c>
      <c r="D32" s="3" t="n">
        <f aca="false">C33</f>
        <v>381</v>
      </c>
      <c r="E32" s="3" t="n">
        <f aca="false">D33</f>
        <v>482</v>
      </c>
      <c r="F32" s="3" t="n">
        <f aca="false">E33</f>
        <v>594</v>
      </c>
      <c r="G32" s="3" t="n">
        <f aca="false">F33</f>
        <v>1038</v>
      </c>
      <c r="H32" s="3" t="n">
        <f aca="false">G33</f>
        <v>728</v>
      </c>
      <c r="I32" s="3" t="n">
        <f aca="false">C32</f>
        <v>287</v>
      </c>
    </row>
    <row r="33" customFormat="false" ht="15" hidden="false" customHeight="false" outlineLevel="0" collapsed="false">
      <c r="A33" s="12"/>
      <c r="B33" s="0" t="s">
        <v>56</v>
      </c>
      <c r="C33" s="3" t="n">
        <v>381</v>
      </c>
      <c r="D33" s="3" t="n">
        <v>482</v>
      </c>
      <c r="E33" s="3" t="n">
        <v>594</v>
      </c>
      <c r="F33" s="3" t="n">
        <v>1038</v>
      </c>
      <c r="G33" s="3" t="n">
        <v>728</v>
      </c>
      <c r="H33" s="3" t="n">
        <v>510</v>
      </c>
      <c r="I33" s="3" t="n">
        <f aca="false">H33</f>
        <v>510</v>
      </c>
    </row>
    <row r="34" customFormat="false" ht="15" hidden="false" customHeight="false" outlineLevel="0" collapsed="false">
      <c r="A34" s="12"/>
      <c r="B34" s="0" t="s">
        <v>6</v>
      </c>
      <c r="C34" s="3" t="n">
        <f aca="false">C29+C33-C32</f>
        <v>239</v>
      </c>
      <c r="D34" s="3" t="n">
        <f aca="false">D29+D33-D32</f>
        <v>274</v>
      </c>
      <c r="E34" s="3" t="n">
        <f aca="false">E29+E33-E32</f>
        <v>331</v>
      </c>
      <c r="F34" s="3" t="n">
        <f aca="false">F29+F33-F32</f>
        <v>714</v>
      </c>
      <c r="G34" s="3" t="n">
        <f aca="false">G29+G33-G32</f>
        <v>162</v>
      </c>
      <c r="H34" s="3" t="n">
        <f aca="false">H29+H33-H32</f>
        <v>113</v>
      </c>
      <c r="I34" s="3" t="n">
        <f aca="false">SUM(C34:H34)</f>
        <v>1833</v>
      </c>
    </row>
    <row r="35" customFormat="false" ht="15" hidden="false" customHeight="false" outlineLevel="0" collapsed="false">
      <c r="A35" s="12"/>
      <c r="B35" s="0" t="s">
        <v>7</v>
      </c>
      <c r="C35" s="3" t="n">
        <v>248</v>
      </c>
      <c r="D35" s="3" t="n">
        <v>263</v>
      </c>
      <c r="E35" s="3" t="n">
        <v>301</v>
      </c>
      <c r="F35" s="3" t="n">
        <v>509</v>
      </c>
      <c r="G35" s="3" t="n">
        <v>76</v>
      </c>
      <c r="H35" s="3" t="n">
        <v>23</v>
      </c>
      <c r="I35" s="3" t="n">
        <f aca="false">SUM(C35:H35)</f>
        <v>1420</v>
      </c>
    </row>
    <row r="36" customFormat="false" ht="15" hidden="false" customHeight="false" outlineLevel="0" collapsed="false">
      <c r="A36" s="12"/>
      <c r="B36" s="0" t="s">
        <v>57</v>
      </c>
      <c r="C36" s="14" t="n">
        <f aca="false">C34-C35</f>
        <v>-9</v>
      </c>
      <c r="D36" s="14" t="n">
        <f aca="false">D34-D35</f>
        <v>11</v>
      </c>
      <c r="E36" s="14" t="n">
        <f aca="false">E34-E35</f>
        <v>30</v>
      </c>
      <c r="F36" s="14" t="n">
        <f aca="false">F34-F35</f>
        <v>205</v>
      </c>
      <c r="G36" s="14" t="n">
        <f aca="false">G34-G35</f>
        <v>86</v>
      </c>
      <c r="H36" s="14" t="n">
        <f aca="false">H34-H35</f>
        <v>90</v>
      </c>
      <c r="I36" s="3" t="n">
        <f aca="false">SUM(C36:H36)</f>
        <v>413</v>
      </c>
    </row>
    <row r="37" customFormat="false" ht="15" hidden="false" customHeight="false" outlineLevel="0" collapsed="false">
      <c r="A37" s="12" t="s">
        <v>28</v>
      </c>
      <c r="B37" s="0" t="s">
        <v>2</v>
      </c>
      <c r="C37" s="3" t="n">
        <v>163</v>
      </c>
      <c r="D37" s="3" t="n">
        <v>213</v>
      </c>
      <c r="E37" s="3" t="n">
        <v>245</v>
      </c>
      <c r="F37" s="3" t="n">
        <v>355</v>
      </c>
      <c r="G37" s="3" t="n">
        <v>609</v>
      </c>
      <c r="H37" s="3" t="n">
        <v>372</v>
      </c>
      <c r="I37" s="3" t="n">
        <f aca="false">SUM(C37:H37)</f>
        <v>1957</v>
      </c>
    </row>
    <row r="38" customFormat="false" ht="15" hidden="false" customHeight="false" outlineLevel="0" collapsed="false">
      <c r="A38" s="12"/>
      <c r="B38" s="0" t="s">
        <v>53</v>
      </c>
      <c r="C38" s="13" t="n">
        <v>156</v>
      </c>
      <c r="D38" s="13" t="n">
        <v>173</v>
      </c>
      <c r="E38" s="13" t="n">
        <v>188</v>
      </c>
      <c r="F38" s="3"/>
      <c r="G38" s="3"/>
      <c r="H38" s="3"/>
      <c r="I38" s="3" t="n">
        <f aca="false">SUM(C38:H38)</f>
        <v>517</v>
      </c>
    </row>
    <row r="39" customFormat="false" ht="15" hidden="false" customHeight="false" outlineLevel="0" collapsed="false">
      <c r="A39" s="12"/>
      <c r="B39" s="0" t="s">
        <v>54</v>
      </c>
      <c r="C39" s="4" t="n">
        <f aca="false">IF(C38="","",C38/C37-1)</f>
        <v>-0.0429447852760736</v>
      </c>
      <c r="D39" s="4" t="n">
        <f aca="false">IF(D38="","",D38/D37-1)</f>
        <v>-0.187793427230047</v>
      </c>
      <c r="E39" s="4" t="n">
        <f aca="false">IF(E38="","",E38/E37-1)</f>
        <v>-0.23265306122449</v>
      </c>
      <c r="F39" s="4" t="str">
        <f aca="false">IF(F38="","",F38/F37-1)</f>
        <v/>
      </c>
      <c r="G39" s="4" t="str">
        <f aca="false">IF(G38="","",G38/G37-1)</f>
        <v/>
      </c>
      <c r="H39" s="4" t="str">
        <f aca="false">IF(H38="","",H38/H37-1)</f>
        <v/>
      </c>
      <c r="I39" s="4" t="n">
        <f aca="false">IF(SUM(C38:E38)=0,"",SUM(C38:E38)/SUM(C37:E37)-1)</f>
        <v>-0.167471819645733</v>
      </c>
    </row>
    <row r="40" customFormat="false" ht="15" hidden="false" customHeight="false" outlineLevel="0" collapsed="false">
      <c r="A40" s="12"/>
      <c r="B40" s="0" t="s">
        <v>55</v>
      </c>
      <c r="C40" s="3" t="n">
        <v>279</v>
      </c>
      <c r="D40" s="3" t="n">
        <f aca="false">C41</f>
        <v>383</v>
      </c>
      <c r="E40" s="3" t="n">
        <f aca="false">D41</f>
        <v>441</v>
      </c>
      <c r="F40" s="3" t="n">
        <f aca="false">E41</f>
        <v>639</v>
      </c>
      <c r="G40" s="3" t="n">
        <f aca="false">F41</f>
        <v>1096</v>
      </c>
      <c r="H40" s="3" t="n">
        <f aca="false">G41</f>
        <v>670</v>
      </c>
      <c r="I40" s="3" t="n">
        <f aca="false">C40</f>
        <v>279</v>
      </c>
    </row>
    <row r="41" customFormat="false" ht="15" hidden="false" customHeight="false" outlineLevel="0" collapsed="false">
      <c r="A41" s="12"/>
      <c r="B41" s="0" t="s">
        <v>56</v>
      </c>
      <c r="C41" s="3" t="n">
        <v>383</v>
      </c>
      <c r="D41" s="3" t="n">
        <v>441</v>
      </c>
      <c r="E41" s="3" t="n">
        <v>639</v>
      </c>
      <c r="F41" s="3" t="n">
        <v>1096</v>
      </c>
      <c r="G41" s="3" t="n">
        <v>670</v>
      </c>
      <c r="H41" s="3" t="n">
        <v>468</v>
      </c>
      <c r="I41" s="3" t="n">
        <f aca="false">H41</f>
        <v>468</v>
      </c>
    </row>
    <row r="42" customFormat="false" ht="15" hidden="false" customHeight="false" outlineLevel="0" collapsed="false">
      <c r="A42" s="12"/>
      <c r="B42" s="0" t="s">
        <v>6</v>
      </c>
      <c r="C42" s="3" t="n">
        <f aca="false">C37+C41-C40</f>
        <v>267</v>
      </c>
      <c r="D42" s="3" t="n">
        <f aca="false">D37+D41-D40</f>
        <v>271</v>
      </c>
      <c r="E42" s="3" t="n">
        <f aca="false">E37+E41-E40</f>
        <v>443</v>
      </c>
      <c r="F42" s="3" t="n">
        <f aca="false">F37+F41-F40</f>
        <v>812</v>
      </c>
      <c r="G42" s="3" t="n">
        <f aca="false">G37+G41-G40</f>
        <v>183</v>
      </c>
      <c r="H42" s="3" t="n">
        <f aca="false">H37+H41-H40</f>
        <v>170</v>
      </c>
      <c r="I42" s="3" t="n">
        <f aca="false">SUM(C42:H42)</f>
        <v>2146</v>
      </c>
    </row>
    <row r="43" customFormat="false" ht="15" hidden="false" customHeight="false" outlineLevel="0" collapsed="false">
      <c r="A43" s="12"/>
      <c r="B43" s="0" t="s">
        <v>7</v>
      </c>
      <c r="C43" s="3" t="n">
        <v>273</v>
      </c>
      <c r="D43" s="3" t="n">
        <v>260</v>
      </c>
      <c r="E43" s="3" t="n">
        <v>428</v>
      </c>
      <c r="F43" s="3" t="n">
        <v>587</v>
      </c>
      <c r="G43" s="3" t="n">
        <v>85</v>
      </c>
      <c r="H43" s="3" t="n">
        <v>35</v>
      </c>
      <c r="I43" s="3" t="n">
        <f aca="false">SUM(C43:H43)</f>
        <v>1668</v>
      </c>
    </row>
    <row r="44" customFormat="false" ht="15" hidden="false" customHeight="false" outlineLevel="0" collapsed="false">
      <c r="A44" s="12"/>
      <c r="B44" s="0" t="s">
        <v>57</v>
      </c>
      <c r="C44" s="14" t="n">
        <f aca="false">C42-C43</f>
        <v>-6</v>
      </c>
      <c r="D44" s="14" t="n">
        <f aca="false">D42-D43</f>
        <v>11</v>
      </c>
      <c r="E44" s="14" t="n">
        <f aca="false">E42-E43</f>
        <v>15</v>
      </c>
      <c r="F44" s="14" t="n">
        <f aca="false">F42-F43</f>
        <v>225</v>
      </c>
      <c r="G44" s="14" t="n">
        <f aca="false">G42-G43</f>
        <v>98</v>
      </c>
      <c r="H44" s="14" t="n">
        <f aca="false">H42-H43</f>
        <v>135</v>
      </c>
      <c r="I44" s="3" t="n">
        <f aca="false">SUM(C44:H44)</f>
        <v>478</v>
      </c>
    </row>
    <row r="45" customFormat="false" ht="15" hidden="false" customHeight="false" outlineLevel="0" collapsed="false">
      <c r="A45" s="12" t="s">
        <v>29</v>
      </c>
      <c r="B45" s="0" t="s">
        <v>2</v>
      </c>
      <c r="C45" s="3" t="n">
        <v>12</v>
      </c>
      <c r="D45" s="3" t="n">
        <v>16</v>
      </c>
      <c r="E45" s="3" t="n">
        <v>33</v>
      </c>
      <c r="F45" s="3" t="n">
        <v>56</v>
      </c>
      <c r="G45" s="3" t="n">
        <v>126</v>
      </c>
      <c r="H45" s="3" t="n">
        <v>57</v>
      </c>
      <c r="I45" s="3" t="n">
        <f aca="false">SUM(C45:H45)</f>
        <v>300</v>
      </c>
    </row>
    <row r="46" customFormat="false" ht="15" hidden="false" customHeight="false" outlineLevel="0" collapsed="false">
      <c r="A46" s="12"/>
      <c r="B46" s="0" t="s">
        <v>53</v>
      </c>
      <c r="C46" s="13" t="n">
        <v>8</v>
      </c>
      <c r="D46" s="13" t="n">
        <v>9</v>
      </c>
      <c r="E46" s="13" t="n">
        <v>24</v>
      </c>
      <c r="F46" s="3"/>
      <c r="G46" s="3"/>
      <c r="H46" s="3"/>
      <c r="I46" s="3" t="n">
        <f aca="false">SUM(C46:H46)</f>
        <v>41</v>
      </c>
    </row>
    <row r="47" customFormat="false" ht="15" hidden="false" customHeight="false" outlineLevel="0" collapsed="false">
      <c r="A47" s="12"/>
      <c r="B47" s="0" t="s">
        <v>54</v>
      </c>
      <c r="C47" s="4" t="n">
        <f aca="false">IF(C46="","",C46/C45-1)</f>
        <v>-0.333333333333333</v>
      </c>
      <c r="D47" s="4" t="n">
        <f aca="false">IF(D46="","",D46/D45-1)</f>
        <v>-0.4375</v>
      </c>
      <c r="E47" s="4" t="n">
        <f aca="false">IF(E46="","",E46/E45-1)</f>
        <v>-0.272727272727273</v>
      </c>
      <c r="F47" s="4" t="str">
        <f aca="false">IF(F46="","",F46/F45-1)</f>
        <v/>
      </c>
      <c r="G47" s="4" t="str">
        <f aca="false">IF(G46="","",G46/G45-1)</f>
        <v/>
      </c>
      <c r="H47" s="4" t="str">
        <f aca="false">IF(H46="","",H46/H45-1)</f>
        <v/>
      </c>
      <c r="I47" s="4" t="n">
        <f aca="false">IF(SUM(C46:E46)=0,"",SUM(C46:E46)/SUM(C45:E45)-1)</f>
        <v>-0.327868852459016</v>
      </c>
    </row>
    <row r="48" customFormat="false" ht="15" hidden="false" customHeight="false" outlineLevel="0" collapsed="false">
      <c r="A48" s="12"/>
      <c r="B48" s="0" t="s">
        <v>55</v>
      </c>
      <c r="C48" s="3" t="n">
        <v>27</v>
      </c>
      <c r="D48" s="3" t="n">
        <f aca="false">C49</f>
        <v>40</v>
      </c>
      <c r="E48" s="3" t="n">
        <f aca="false">D49</f>
        <v>82</v>
      </c>
      <c r="F48" s="3" t="n">
        <f aca="false">E49</f>
        <v>140</v>
      </c>
      <c r="G48" s="3" t="n">
        <f aca="false">F49</f>
        <v>315</v>
      </c>
      <c r="H48" s="3" t="n">
        <f aca="false">G49</f>
        <v>142</v>
      </c>
      <c r="I48" s="3" t="n">
        <f aca="false">C48</f>
        <v>27</v>
      </c>
    </row>
    <row r="49" customFormat="false" ht="15" hidden="false" customHeight="false" outlineLevel="0" collapsed="false">
      <c r="A49" s="12"/>
      <c r="B49" s="0" t="s">
        <v>56</v>
      </c>
      <c r="C49" s="3" t="n">
        <v>40</v>
      </c>
      <c r="D49" s="3" t="n">
        <v>82</v>
      </c>
      <c r="E49" s="3" t="n">
        <v>140</v>
      </c>
      <c r="F49" s="3" t="n">
        <v>315</v>
      </c>
      <c r="G49" s="3" t="n">
        <v>142</v>
      </c>
      <c r="H49" s="3" t="n">
        <v>100</v>
      </c>
      <c r="I49" s="3" t="n">
        <f aca="false">H49</f>
        <v>100</v>
      </c>
    </row>
    <row r="50" customFormat="false" ht="15" hidden="false" customHeight="false" outlineLevel="0" collapsed="false">
      <c r="A50" s="12"/>
      <c r="B50" s="0" t="s">
        <v>6</v>
      </c>
      <c r="C50" s="3" t="n">
        <f aca="false">C45+C49-C48</f>
        <v>25</v>
      </c>
      <c r="D50" s="3" t="n">
        <f aca="false">D45+D49-D48</f>
        <v>58</v>
      </c>
      <c r="E50" s="3" t="n">
        <f aca="false">E45+E49-E48</f>
        <v>91</v>
      </c>
      <c r="F50" s="3" t="n">
        <f aca="false">F45+F49-F48</f>
        <v>231</v>
      </c>
      <c r="G50" s="3" t="n">
        <f aca="false">G45+G49-G48</f>
        <v>-47</v>
      </c>
      <c r="H50" s="3" t="n">
        <f aca="false">H45+H49-H48</f>
        <v>15</v>
      </c>
      <c r="I50" s="3" t="n">
        <f aca="false">SUM(C50:H50)</f>
        <v>373</v>
      </c>
    </row>
    <row r="51" customFormat="false" ht="15" hidden="false" customHeight="false" outlineLevel="0" collapsed="false">
      <c r="A51" s="12"/>
      <c r="B51" s="0" t="s">
        <v>7</v>
      </c>
      <c r="C51" s="3" t="n">
        <v>26</v>
      </c>
      <c r="D51" s="3" t="n">
        <v>59</v>
      </c>
      <c r="E51" s="3" t="n">
        <v>84</v>
      </c>
      <c r="F51" s="3" t="n">
        <v>158</v>
      </c>
      <c r="G51" s="3" t="n">
        <v>0</v>
      </c>
      <c r="H51" s="3" t="n">
        <v>3</v>
      </c>
      <c r="I51" s="3" t="n">
        <f aca="false">SUM(C51:H51)</f>
        <v>330</v>
      </c>
    </row>
    <row r="52" customFormat="false" ht="15" hidden="false" customHeight="false" outlineLevel="0" collapsed="false">
      <c r="A52" s="12"/>
      <c r="B52" s="0" t="s">
        <v>57</v>
      </c>
      <c r="C52" s="14" t="n">
        <f aca="false">C50-C51</f>
        <v>-1</v>
      </c>
      <c r="D52" s="14" t="n">
        <f aca="false">D50-D51</f>
        <v>-1</v>
      </c>
      <c r="E52" s="14" t="n">
        <f aca="false">E50-E51</f>
        <v>7</v>
      </c>
      <c r="F52" s="14" t="n">
        <f aca="false">F50-F51</f>
        <v>73</v>
      </c>
      <c r="G52" s="14" t="n">
        <f aca="false">G50-G51</f>
        <v>-47</v>
      </c>
      <c r="H52" s="14" t="n">
        <f aca="false">H50-H51</f>
        <v>12</v>
      </c>
      <c r="I52" s="3" t="n">
        <f aca="false">SUM(C52:H52)</f>
        <v>43</v>
      </c>
    </row>
    <row r="53" customFormat="false" ht="15" hidden="false" customHeight="false" outlineLevel="0" collapsed="false">
      <c r="A53" s="15" t="s">
        <v>60</v>
      </c>
      <c r="B53" s="16" t="s">
        <v>2</v>
      </c>
      <c r="C53" s="17" t="n">
        <f aca="false">SUM(C5,C13,C21,C29,C37,C45)</f>
        <v>2483</v>
      </c>
      <c r="D53" s="17" t="n">
        <f aca="false">SUM(D5,D13,D21,D29,D37,D45)</f>
        <v>3489</v>
      </c>
      <c r="E53" s="17" t="n">
        <f aca="false">SUM(E5,E13,E21,E29,E37,E45)</f>
        <v>5031</v>
      </c>
      <c r="F53" s="17" t="n">
        <f aca="false">SUM(F5,F13,F21,F29,F37,F45)</f>
        <v>7375</v>
      </c>
      <c r="G53" s="17" t="n">
        <f aca="false">SUM(G5,G13,G21,G29,G37,G45)</f>
        <v>11199</v>
      </c>
      <c r="H53" s="17" t="n">
        <f aca="false">SUM(H5,H13,H21,H29,H37,H45)</f>
        <v>7591</v>
      </c>
      <c r="I53" s="17" t="n">
        <f aca="false">SUM(I5,I13,I21,I29,I37,I45)</f>
        <v>37168</v>
      </c>
    </row>
    <row r="54" customFormat="false" ht="15" hidden="false" customHeight="false" outlineLevel="0" collapsed="false">
      <c r="A54" s="15"/>
      <c r="B54" s="16" t="s">
        <v>53</v>
      </c>
      <c r="C54" s="17" t="n">
        <f aca="false">SUM(C6,C14,C22,C30,C38,C46)</f>
        <v>2274</v>
      </c>
      <c r="D54" s="17" t="n">
        <f aca="false">SUM(D6,D14,D22,D30,D38,D46)</f>
        <v>3353</v>
      </c>
      <c r="E54" s="17" t="n">
        <f aca="false">SUM(E6,E14,E22,E30,E38,E46)</f>
        <v>3348</v>
      </c>
      <c r="F54" s="17" t="n">
        <f aca="false">SUM(F6,F14,F22,F30,F38,F46)</f>
        <v>0</v>
      </c>
      <c r="G54" s="17" t="n">
        <f aca="false">SUM(G6,G14,G22,G30,G38,G46)</f>
        <v>0</v>
      </c>
      <c r="H54" s="17" t="n">
        <f aca="false">SUM(H6,H14,H22,H30,H38,H46)</f>
        <v>0</v>
      </c>
      <c r="I54" s="17" t="n">
        <f aca="false">SUM(I6,I14,I22,I30,I38,I46)</f>
        <v>8975</v>
      </c>
    </row>
    <row r="55" customFormat="false" ht="15" hidden="false" customHeight="false" outlineLevel="0" collapsed="false">
      <c r="A55" s="15"/>
      <c r="B55" s="16" t="s">
        <v>54</v>
      </c>
      <c r="C55" s="18" t="n">
        <f aca="false">IF(C54=0,"",C54/C53-1)</f>
        <v>-0.0841723721304873</v>
      </c>
      <c r="D55" s="18" t="n">
        <f aca="false">IF(D54=0,"",D54/D53-1)</f>
        <v>-0.0389796503296074</v>
      </c>
      <c r="E55" s="18" t="n">
        <f aca="false">IF(E54=0,"",E54/E53-1)</f>
        <v>-0.334525939177102</v>
      </c>
      <c r="F55" s="18" t="str">
        <f aca="false">IF(F54=0,"",F54/F53-1)</f>
        <v/>
      </c>
      <c r="G55" s="18" t="str">
        <f aca="false">IF(G54=0,"",G54/G53-1)</f>
        <v/>
      </c>
      <c r="H55" s="18" t="str">
        <f aca="false">IF(H54=0,"",H54/H53-1)</f>
        <v/>
      </c>
      <c r="I55" s="18" t="n">
        <f aca="false">IF(I54=0,"",I54/I53-1)</f>
        <v>-0.758528842014636</v>
      </c>
    </row>
    <row r="56" customFormat="false" ht="15" hidden="false" customHeight="false" outlineLevel="0" collapsed="false">
      <c r="A56" s="15"/>
      <c r="B56" s="16" t="s">
        <v>55</v>
      </c>
      <c r="C56" s="17" t="n">
        <f aca="false">SUM(C8,C16,C24,C32,C40,C48)</f>
        <v>5331</v>
      </c>
      <c r="D56" s="17" t="n">
        <f aca="false">SUM(D8,D16,D24,D32,D40,D48)</f>
        <v>7792</v>
      </c>
      <c r="E56" s="17" t="n">
        <f aca="false">SUM(E8,E16,E24,E32,E40,E48)</f>
        <v>11447</v>
      </c>
      <c r="F56" s="17" t="n">
        <f aca="false">SUM(F8,F16,F24,F32,F40,F48)</f>
        <v>16926</v>
      </c>
      <c r="G56" s="17" t="n">
        <f aca="false">SUM(G8,G16,G24,G32,G40,G48)</f>
        <v>25688</v>
      </c>
      <c r="H56" s="17" t="n">
        <f aca="false">SUM(H8,H16,H24,H32,H40,H48)</f>
        <v>17384</v>
      </c>
      <c r="I56" s="17" t="n">
        <f aca="false">SUM(I8,I16,I24,I32,I40,I48)</f>
        <v>5331</v>
      </c>
    </row>
    <row r="57" customFormat="false" ht="15" hidden="false" customHeight="false" outlineLevel="0" collapsed="false">
      <c r="A57" s="15"/>
      <c r="B57" s="16" t="s">
        <v>56</v>
      </c>
      <c r="C57" s="17" t="n">
        <f aca="false">SUM(C9,C17,C25,C33,C41,C49)</f>
        <v>7792</v>
      </c>
      <c r="D57" s="17" t="n">
        <f aca="false">SUM(D9,D17,D25,D33,D41,D49)</f>
        <v>11447</v>
      </c>
      <c r="E57" s="17" t="n">
        <f aca="false">SUM(E9,E17,E25,E33,E41,E49)</f>
        <v>16926</v>
      </c>
      <c r="F57" s="17" t="n">
        <f aca="false">SUM(F9,F17,F25,F33,F41,F49)</f>
        <v>25688</v>
      </c>
      <c r="G57" s="17" t="n">
        <f aca="false">SUM(G9,G17,G25,G33,G41,G49)</f>
        <v>17384</v>
      </c>
      <c r="H57" s="17" t="n">
        <f aca="false">SUM(H9,H17,H25,H33,H41,H49)</f>
        <v>12167</v>
      </c>
      <c r="I57" s="17" t="n">
        <f aca="false">SUM(I9,I17,I25,I33,I41,I49)</f>
        <v>12167</v>
      </c>
    </row>
    <row r="58" customFormat="false" ht="15" hidden="false" customHeight="false" outlineLevel="0" collapsed="false">
      <c r="A58" s="15"/>
      <c r="B58" s="16" t="s">
        <v>6</v>
      </c>
      <c r="C58" s="17" t="n">
        <f aca="false">SUM(C10,C18,C26,C34,C42,C50)</f>
        <v>4944</v>
      </c>
      <c r="D58" s="17" t="n">
        <f aca="false">SUM(D10,D18,D26,D34,D42,D50)</f>
        <v>7144</v>
      </c>
      <c r="E58" s="17" t="n">
        <f aca="false">SUM(E10,E18,E26,E34,E42,E50)</f>
        <v>10510</v>
      </c>
      <c r="F58" s="17" t="n">
        <f aca="false">SUM(F10,F18,F26,F34,F42,F50)</f>
        <v>16137</v>
      </c>
      <c r="G58" s="17" t="n">
        <f aca="false">SUM(G10,G18,G26,G34,G42,G50)</f>
        <v>2895</v>
      </c>
      <c r="H58" s="17" t="n">
        <f aca="false">SUM(H10,H18,H26,H34,H42,H50)</f>
        <v>2374</v>
      </c>
      <c r="I58" s="17" t="n">
        <f aca="false">SUM(I10,I18,I26,I34,I42,I50)</f>
        <v>44004</v>
      </c>
    </row>
    <row r="59" customFormat="false" ht="15" hidden="false" customHeight="false" outlineLevel="0" collapsed="false">
      <c r="A59" s="15"/>
      <c r="B59" s="16" t="s">
        <v>7</v>
      </c>
      <c r="C59" s="17" t="n">
        <f aca="false">SUM(C11,C19,C27,C35,C43,C51)</f>
        <v>4958</v>
      </c>
      <c r="D59" s="17" t="n">
        <f aca="false">SUM(D11,D19,D27,D35,D43,D51)</f>
        <v>7053</v>
      </c>
      <c r="E59" s="17" t="n">
        <f aca="false">SUM(E11,E19,E27,E35,E43,E51)</f>
        <v>10052</v>
      </c>
      <c r="F59" s="17" t="n">
        <f aca="false">SUM(F11,F19,F27,F35,F43,F51)</f>
        <v>11465</v>
      </c>
      <c r="G59" s="17" t="n">
        <f aca="false">SUM(G11,G19,G27,G35,G43,G51)</f>
        <v>1302</v>
      </c>
      <c r="H59" s="17" t="n">
        <f aca="false">SUM(H11,H19,H27,H35,H43,H51)</f>
        <v>462</v>
      </c>
      <c r="I59" s="17" t="n">
        <f aca="false">SUM(I11,I19,I27,I35,I43,I51)</f>
        <v>35292</v>
      </c>
    </row>
    <row r="60" customFormat="false" ht="15" hidden="false" customHeight="false" outlineLevel="0" collapsed="false">
      <c r="A60" s="15"/>
      <c r="B60" s="16" t="s">
        <v>57</v>
      </c>
      <c r="C60" s="17" t="n">
        <f aca="false">SUM(C12,C20,C28,C36,C44,C52)</f>
        <v>-14</v>
      </c>
      <c r="D60" s="17" t="n">
        <f aca="false">SUM(D12,D20,D28,D36,D44,D52)</f>
        <v>91</v>
      </c>
      <c r="E60" s="17" t="n">
        <f aca="false">SUM(E12,E20,E28,E36,E44,E52)</f>
        <v>458</v>
      </c>
      <c r="F60" s="17" t="n">
        <f aca="false">SUM(F12,F20,F28,F36,F44,F52)</f>
        <v>4672</v>
      </c>
      <c r="G60" s="17" t="n">
        <f aca="false">SUM(G12,G20,G28,G36,G44,G52)</f>
        <v>1593</v>
      </c>
      <c r="H60" s="17" t="n">
        <f aca="false">SUM(H12,H20,H28,H36,H44,H52)</f>
        <v>1912</v>
      </c>
      <c r="I60" s="17" t="n">
        <f aca="false">SUM(I12,I20,I28,I36,I44,I52)</f>
        <v>8712</v>
      </c>
    </row>
  </sheetData>
  <mergeCells count="9">
    <mergeCell ref="C3:D3"/>
    <mergeCell ref="E3:G3"/>
    <mergeCell ref="A5:A12"/>
    <mergeCell ref="A13:A20"/>
    <mergeCell ref="A21:A28"/>
    <mergeCell ref="A29:A36"/>
    <mergeCell ref="A37:A44"/>
    <mergeCell ref="A45:A52"/>
    <mergeCell ref="A53:A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9" min="3" style="0" width="11"/>
  </cols>
  <sheetData>
    <row r="1" customFormat="false" ht="16.15" hidden="false" customHeight="false" outlineLevel="0" collapsed="false">
      <c r="A1" s="8" t="s">
        <v>61</v>
      </c>
    </row>
    <row r="2" customFormat="false" ht="15" hidden="false" customHeight="false" outlineLevel="0" collapsed="false">
      <c r="A2" s="0" t="s">
        <v>40</v>
      </c>
    </row>
    <row r="3" customFormat="false" ht="15" hidden="false" customHeight="false" outlineLevel="0" collapsed="false">
      <c r="C3" s="9" t="s">
        <v>41</v>
      </c>
      <c r="D3" s="9"/>
      <c r="E3" s="9" t="s">
        <v>42</v>
      </c>
      <c r="F3" s="9"/>
      <c r="G3" s="9"/>
      <c r="H3" s="10" t="s">
        <v>43</v>
      </c>
      <c r="I3" s="10" t="s">
        <v>44</v>
      </c>
    </row>
    <row r="4" customFormat="false" ht="15" hidden="false" customHeight="false" outlineLevel="0" collapsed="false">
      <c r="A4" s="0" t="s">
        <v>21</v>
      </c>
      <c r="B4" s="0" t="s">
        <v>45</v>
      </c>
      <c r="C4" s="11" t="s">
        <v>46</v>
      </c>
      <c r="D4" s="11" t="s">
        <v>47</v>
      </c>
      <c r="E4" s="11" t="s">
        <v>48</v>
      </c>
      <c r="F4" s="11" t="s">
        <v>49</v>
      </c>
      <c r="G4" s="11" t="s">
        <v>50</v>
      </c>
      <c r="H4" s="11" t="s">
        <v>51</v>
      </c>
      <c r="I4" s="11" t="s">
        <v>52</v>
      </c>
    </row>
    <row r="5" customFormat="false" ht="15" hidden="false" customHeight="false" outlineLevel="0" collapsed="false">
      <c r="A5" s="12" t="s">
        <v>24</v>
      </c>
      <c r="B5" s="0" t="s">
        <v>2</v>
      </c>
      <c r="C5" s="3" t="n">
        <v>6159</v>
      </c>
      <c r="D5" s="3" t="n">
        <v>9956</v>
      </c>
      <c r="E5" s="3" t="n">
        <v>14883</v>
      </c>
      <c r="F5" s="3" t="n">
        <v>21427</v>
      </c>
      <c r="G5" s="3" t="n">
        <v>29985</v>
      </c>
      <c r="H5" s="3" t="n">
        <v>19931</v>
      </c>
      <c r="I5" s="3" t="n">
        <f aca="false">SUM(C5:H5)</f>
        <v>102341</v>
      </c>
    </row>
    <row r="6" customFormat="false" ht="15" hidden="false" customHeight="false" outlineLevel="0" collapsed="false">
      <c r="A6" s="12"/>
      <c r="B6" s="0" t="s">
        <v>53</v>
      </c>
      <c r="C6" s="13" t="n">
        <v>5498</v>
      </c>
      <c r="D6" s="13" t="n">
        <v>10160</v>
      </c>
      <c r="E6" s="13" t="n">
        <v>11674</v>
      </c>
      <c r="F6" s="3"/>
      <c r="G6" s="3"/>
      <c r="H6" s="3"/>
      <c r="I6" s="3" t="n">
        <f aca="false">SUM(C6:H6)</f>
        <v>27332</v>
      </c>
    </row>
    <row r="7" customFormat="false" ht="15" hidden="false" customHeight="false" outlineLevel="0" collapsed="false">
      <c r="A7" s="12"/>
      <c r="B7" s="0" t="s">
        <v>54</v>
      </c>
      <c r="C7" s="4" t="n">
        <f aca="false">IF(C6="","",C6/C5-1)</f>
        <v>-0.107322617308005</v>
      </c>
      <c r="D7" s="4" t="n">
        <f aca="false">IF(D6="","",D6/D5-1)</f>
        <v>0.0204901566894335</v>
      </c>
      <c r="E7" s="4" t="n">
        <f aca="false">IF(E6="","",E6/E5-1)</f>
        <v>-0.215615131357925</v>
      </c>
      <c r="F7" s="4" t="str">
        <f aca="false">IF(F6="","",F6/F5-1)</f>
        <v/>
      </c>
      <c r="G7" s="4" t="str">
        <f aca="false">IF(G6="","",G6/G5-1)</f>
        <v/>
      </c>
      <c r="H7" s="4" t="str">
        <f aca="false">IF(H6="","",H6/H5-1)</f>
        <v/>
      </c>
      <c r="I7" s="4" t="n">
        <f aca="false">IF(SUM(C6:E6)=0,"",SUM(C6:E6)/SUM(C5:E5)-1)</f>
        <v>-0.118265694560939</v>
      </c>
    </row>
    <row r="8" customFormat="false" ht="15" hidden="false" customHeight="false" outlineLevel="0" collapsed="false">
      <c r="A8" s="12"/>
      <c r="B8" s="0" t="s">
        <v>55</v>
      </c>
      <c r="C8" s="3" t="n">
        <v>14974</v>
      </c>
      <c r="D8" s="3" t="n">
        <f aca="false">C9</f>
        <v>23894</v>
      </c>
      <c r="E8" s="3" t="n">
        <f aca="false">D9</f>
        <v>35719</v>
      </c>
      <c r="F8" s="3" t="n">
        <f aca="false">E9</f>
        <v>51425</v>
      </c>
      <c r="G8" s="3" t="n">
        <f aca="false">F9</f>
        <v>71964</v>
      </c>
      <c r="H8" s="3" t="n">
        <f aca="false">G9</f>
        <v>47834</v>
      </c>
      <c r="I8" s="3" t="n">
        <f aca="false">C8</f>
        <v>14974</v>
      </c>
    </row>
    <row r="9" customFormat="false" ht="15" hidden="false" customHeight="false" outlineLevel="0" collapsed="false">
      <c r="A9" s="12"/>
      <c r="B9" s="0" t="s">
        <v>56</v>
      </c>
      <c r="C9" s="3" t="n">
        <v>23894</v>
      </c>
      <c r="D9" s="3" t="n">
        <v>35719</v>
      </c>
      <c r="E9" s="3" t="n">
        <v>51425</v>
      </c>
      <c r="F9" s="3" t="n">
        <v>71964</v>
      </c>
      <c r="G9" s="3" t="n">
        <v>47834</v>
      </c>
      <c r="H9" s="3" t="n">
        <v>33485</v>
      </c>
      <c r="I9" s="3" t="n">
        <f aca="false">H9</f>
        <v>33485</v>
      </c>
    </row>
    <row r="10" customFormat="false" ht="15" hidden="false" customHeight="false" outlineLevel="0" collapsed="false">
      <c r="A10" s="12"/>
      <c r="B10" s="0" t="s">
        <v>6</v>
      </c>
      <c r="C10" s="3" t="n">
        <f aca="false">C5+C9-C8</f>
        <v>15079</v>
      </c>
      <c r="D10" s="3" t="n">
        <f aca="false">D5+D9-D8</f>
        <v>21781</v>
      </c>
      <c r="E10" s="3" t="n">
        <f aca="false">E5+E9-E8</f>
        <v>30589</v>
      </c>
      <c r="F10" s="3" t="n">
        <f aca="false">F5+F9-F8</f>
        <v>41966</v>
      </c>
      <c r="G10" s="3" t="n">
        <f aca="false">G5+G9-G8</f>
        <v>5855</v>
      </c>
      <c r="H10" s="3" t="n">
        <f aca="false">H5+H9-H8</f>
        <v>5582</v>
      </c>
      <c r="I10" s="3" t="n">
        <f aca="false">SUM(C10:H10)</f>
        <v>120852</v>
      </c>
    </row>
    <row r="11" customFormat="false" ht="15" hidden="false" customHeight="false" outlineLevel="0" collapsed="false">
      <c r="A11" s="12"/>
      <c r="B11" s="0" t="s">
        <v>7</v>
      </c>
      <c r="C11" s="3" t="n">
        <v>14641</v>
      </c>
      <c r="D11" s="3" t="n">
        <v>20811</v>
      </c>
      <c r="E11" s="3" t="n">
        <v>29467</v>
      </c>
      <c r="F11" s="3" t="n">
        <v>30135</v>
      </c>
      <c r="G11" s="3" t="n">
        <v>2667</v>
      </c>
      <c r="H11" s="3" t="n">
        <v>1109</v>
      </c>
      <c r="I11" s="3" t="n">
        <f aca="false">SUM(C11:H11)</f>
        <v>98830</v>
      </c>
    </row>
    <row r="12" customFormat="false" ht="15" hidden="false" customHeight="false" outlineLevel="0" collapsed="false">
      <c r="A12" s="12"/>
      <c r="B12" s="0" t="s">
        <v>57</v>
      </c>
      <c r="C12" s="14" t="n">
        <f aca="false">C10-C11</f>
        <v>438</v>
      </c>
      <c r="D12" s="14" t="n">
        <f aca="false">D10-D11</f>
        <v>970</v>
      </c>
      <c r="E12" s="14" t="n">
        <f aca="false">E10-E11</f>
        <v>1122</v>
      </c>
      <c r="F12" s="14" t="n">
        <f aca="false">F10-F11</f>
        <v>11831</v>
      </c>
      <c r="G12" s="14" t="n">
        <f aca="false">G10-G11</f>
        <v>3188</v>
      </c>
      <c r="H12" s="14" t="n">
        <f aca="false">H10-H11</f>
        <v>4473</v>
      </c>
      <c r="I12" s="3" t="n">
        <f aca="false">SUM(C12:H12)</f>
        <v>22022</v>
      </c>
    </row>
    <row r="13" customFormat="false" ht="15" hidden="false" customHeight="false" outlineLevel="0" collapsed="false">
      <c r="A13" s="12" t="s">
        <v>25</v>
      </c>
      <c r="B13" s="0" t="s">
        <v>2</v>
      </c>
      <c r="C13" s="3" t="n">
        <v>1480</v>
      </c>
      <c r="D13" s="3" t="n">
        <v>1610</v>
      </c>
      <c r="E13" s="3" t="n">
        <v>1949</v>
      </c>
      <c r="F13" s="3" t="n">
        <v>2085</v>
      </c>
      <c r="G13" s="3" t="n">
        <v>2814</v>
      </c>
      <c r="H13" s="3" t="n">
        <v>2138</v>
      </c>
      <c r="I13" s="3" t="n">
        <f aca="false">SUM(C13:H13)</f>
        <v>12076</v>
      </c>
    </row>
    <row r="14" customFormat="false" ht="15" hidden="false" customHeight="false" outlineLevel="0" collapsed="false">
      <c r="A14" s="12"/>
      <c r="B14" s="0" t="s">
        <v>53</v>
      </c>
      <c r="C14" s="13" t="n">
        <v>1340</v>
      </c>
      <c r="D14" s="13" t="n">
        <v>1768</v>
      </c>
      <c r="E14" s="13" t="n">
        <v>1689</v>
      </c>
      <c r="F14" s="3"/>
      <c r="G14" s="3"/>
      <c r="H14" s="3"/>
      <c r="I14" s="3" t="n">
        <f aca="false">SUM(C14:H14)</f>
        <v>4797</v>
      </c>
    </row>
    <row r="15" customFormat="false" ht="15" hidden="false" customHeight="false" outlineLevel="0" collapsed="false">
      <c r="A15" s="12"/>
      <c r="B15" s="0" t="s">
        <v>54</v>
      </c>
      <c r="C15" s="4" t="n">
        <f aca="false">IF(C14="","",C14/C13-1)</f>
        <v>-0.0945945945945946</v>
      </c>
      <c r="D15" s="4" t="n">
        <f aca="false">IF(D14="","",D14/D13-1)</f>
        <v>0.0981366459627329</v>
      </c>
      <c r="E15" s="4" t="n">
        <f aca="false">IF(E14="","",E14/E13-1)</f>
        <v>-0.133401744484351</v>
      </c>
      <c r="F15" s="4" t="str">
        <f aca="false">IF(F14="","",F14/F13-1)</f>
        <v/>
      </c>
      <c r="G15" s="4" t="str">
        <f aca="false">IF(G14="","",G14/G13-1)</f>
        <v/>
      </c>
      <c r="H15" s="4" t="str">
        <f aca="false">IF(H14="","",H14/H13-1)</f>
        <v/>
      </c>
      <c r="I15" s="4" t="n">
        <f aca="false">IF(SUM(C14:E14)=0,"",SUM(C14:E14)/SUM(C13:E13)-1)</f>
        <v>-0.0480254018654495</v>
      </c>
    </row>
    <row r="16" customFormat="false" ht="15" hidden="false" customHeight="false" outlineLevel="0" collapsed="false">
      <c r="A16" s="12"/>
      <c r="B16" s="0" t="s">
        <v>55</v>
      </c>
      <c r="C16" s="3" t="n">
        <v>2696</v>
      </c>
      <c r="D16" s="3" t="n">
        <f aca="false">C17</f>
        <v>3220</v>
      </c>
      <c r="E16" s="3" t="n">
        <f aca="false">D17</f>
        <v>3898</v>
      </c>
      <c r="F16" s="3" t="n">
        <f aca="false">E17</f>
        <v>4170</v>
      </c>
      <c r="G16" s="3" t="n">
        <f aca="false">F17</f>
        <v>5628</v>
      </c>
      <c r="H16" s="3" t="n">
        <f aca="false">G17</f>
        <v>4276</v>
      </c>
      <c r="I16" s="3" t="n">
        <f aca="false">C16</f>
        <v>2696</v>
      </c>
    </row>
    <row r="17" customFormat="false" ht="15" hidden="false" customHeight="false" outlineLevel="0" collapsed="false">
      <c r="A17" s="12"/>
      <c r="B17" s="0" t="s">
        <v>56</v>
      </c>
      <c r="C17" s="3" t="n">
        <v>3220</v>
      </c>
      <c r="D17" s="3" t="n">
        <v>3898</v>
      </c>
      <c r="E17" s="3" t="n">
        <v>4170</v>
      </c>
      <c r="F17" s="3" t="n">
        <v>5628</v>
      </c>
      <c r="G17" s="3" t="n">
        <v>4276</v>
      </c>
      <c r="H17" s="3" t="n">
        <v>2994</v>
      </c>
      <c r="I17" s="3" t="n">
        <f aca="false">H17</f>
        <v>2994</v>
      </c>
    </row>
    <row r="18" customFormat="false" ht="15" hidden="false" customHeight="false" outlineLevel="0" collapsed="false">
      <c r="A18" s="12"/>
      <c r="B18" s="0" t="s">
        <v>6</v>
      </c>
      <c r="C18" s="3" t="n">
        <f aca="false">C13+C17-C16</f>
        <v>2004</v>
      </c>
      <c r="D18" s="3" t="n">
        <f aca="false">D13+D17-D16</f>
        <v>2288</v>
      </c>
      <c r="E18" s="3" t="n">
        <f aca="false">E13+E17-E16</f>
        <v>2221</v>
      </c>
      <c r="F18" s="3" t="n">
        <f aca="false">F13+F17-F16</f>
        <v>3543</v>
      </c>
      <c r="G18" s="3" t="n">
        <f aca="false">G13+G17-G16</f>
        <v>1462</v>
      </c>
      <c r="H18" s="3" t="n">
        <f aca="false">H13+H17-H16</f>
        <v>856</v>
      </c>
      <c r="I18" s="3" t="n">
        <f aca="false">SUM(C18:H18)</f>
        <v>12374</v>
      </c>
    </row>
    <row r="19" customFormat="false" ht="15" hidden="false" customHeight="false" outlineLevel="0" collapsed="false">
      <c r="A19" s="12"/>
      <c r="B19" s="0" t="s">
        <v>7</v>
      </c>
      <c r="C19" s="3" t="n">
        <v>1909</v>
      </c>
      <c r="D19" s="3" t="n">
        <v>2209</v>
      </c>
      <c r="E19" s="3" t="n">
        <v>1975</v>
      </c>
      <c r="F19" s="3" t="n">
        <v>2510</v>
      </c>
      <c r="G19" s="3" t="n">
        <v>629</v>
      </c>
      <c r="H19" s="3" t="n">
        <v>169</v>
      </c>
      <c r="I19" s="3" t="n">
        <f aca="false">SUM(C19:H19)</f>
        <v>9401</v>
      </c>
    </row>
    <row r="20" customFormat="false" ht="15" hidden="false" customHeight="false" outlineLevel="0" collapsed="false">
      <c r="A20" s="12"/>
      <c r="B20" s="0" t="s">
        <v>57</v>
      </c>
      <c r="C20" s="14" t="n">
        <f aca="false">C18-C19</f>
        <v>95</v>
      </c>
      <c r="D20" s="14" t="n">
        <f aca="false">D18-D19</f>
        <v>79</v>
      </c>
      <c r="E20" s="14" t="n">
        <f aca="false">E18-E19</f>
        <v>246</v>
      </c>
      <c r="F20" s="14" t="n">
        <f aca="false">F18-F19</f>
        <v>1033</v>
      </c>
      <c r="G20" s="14" t="n">
        <f aca="false">G18-G19</f>
        <v>833</v>
      </c>
      <c r="H20" s="14" t="n">
        <f aca="false">H18-H19</f>
        <v>687</v>
      </c>
      <c r="I20" s="3" t="n">
        <f aca="false">SUM(C20:H20)</f>
        <v>2973</v>
      </c>
    </row>
    <row r="21" customFormat="false" ht="15" hidden="false" customHeight="false" outlineLevel="0" collapsed="false">
      <c r="A21" s="12" t="s">
        <v>26</v>
      </c>
      <c r="B21" s="0" t="s">
        <v>2</v>
      </c>
      <c r="C21" s="3" t="n">
        <v>1298</v>
      </c>
      <c r="D21" s="3" t="n">
        <v>1202</v>
      </c>
      <c r="E21" s="3" t="n">
        <v>1339</v>
      </c>
      <c r="F21" s="3" t="n">
        <v>1294</v>
      </c>
      <c r="G21" s="3" t="n">
        <v>1894</v>
      </c>
      <c r="H21" s="3" t="n">
        <v>1361</v>
      </c>
      <c r="I21" s="3" t="n">
        <f aca="false">SUM(C21:H21)</f>
        <v>8388</v>
      </c>
    </row>
    <row r="22" customFormat="false" ht="15" hidden="false" customHeight="false" outlineLevel="0" collapsed="false">
      <c r="A22" s="12"/>
      <c r="B22" s="0" t="s">
        <v>53</v>
      </c>
      <c r="C22" s="13" t="n">
        <v>1304</v>
      </c>
      <c r="D22" s="13" t="n">
        <v>1229</v>
      </c>
      <c r="E22" s="13" t="n">
        <v>937</v>
      </c>
      <c r="F22" s="3"/>
      <c r="G22" s="3"/>
      <c r="H22" s="3"/>
      <c r="I22" s="3" t="n">
        <f aca="false">SUM(C22:H22)</f>
        <v>3470</v>
      </c>
    </row>
    <row r="23" customFormat="false" ht="15" hidden="false" customHeight="false" outlineLevel="0" collapsed="false">
      <c r="A23" s="12"/>
      <c r="B23" s="0" t="s">
        <v>54</v>
      </c>
      <c r="C23" s="4" t="n">
        <f aca="false">IF(C22="","",C22/C21-1)</f>
        <v>0.00462249614791999</v>
      </c>
      <c r="D23" s="4" t="n">
        <f aca="false">IF(D22="","",D22/D21-1)</f>
        <v>0.0224625623960066</v>
      </c>
      <c r="E23" s="4" t="n">
        <f aca="false">IF(E22="","",E22/E21-1)</f>
        <v>-0.300224047796863</v>
      </c>
      <c r="F23" s="4" t="str">
        <f aca="false">IF(F22="","",F22/F21-1)</f>
        <v/>
      </c>
      <c r="G23" s="4" t="str">
        <f aca="false">IF(G22="","",G22/G21-1)</f>
        <v/>
      </c>
      <c r="H23" s="4" t="str">
        <f aca="false">IF(H22="","",H22/H21-1)</f>
        <v/>
      </c>
      <c r="I23" s="4" t="n">
        <f aca="false">IF(SUM(C22:E22)=0,"",SUM(C22:E22)/SUM(C21:E21)-1)</f>
        <v>-0.0961187809325346</v>
      </c>
    </row>
    <row r="24" customFormat="false" ht="15" hidden="false" customHeight="false" outlineLevel="0" collapsed="false">
      <c r="A24" s="12"/>
      <c r="B24" s="0" t="s">
        <v>55</v>
      </c>
      <c r="C24" s="3" t="n">
        <v>2164</v>
      </c>
      <c r="D24" s="3" t="n">
        <f aca="false">C25</f>
        <v>1923</v>
      </c>
      <c r="E24" s="3" t="n">
        <f aca="false">D25</f>
        <v>2142</v>
      </c>
      <c r="F24" s="3" t="n">
        <f aca="false">E25</f>
        <v>2070</v>
      </c>
      <c r="G24" s="3" t="n">
        <f aca="false">F25</f>
        <v>3030</v>
      </c>
      <c r="H24" s="3" t="n">
        <f aca="false">G25</f>
        <v>2178</v>
      </c>
      <c r="I24" s="3" t="n">
        <f aca="false">C24</f>
        <v>2164</v>
      </c>
    </row>
    <row r="25" customFormat="false" ht="15" hidden="false" customHeight="false" outlineLevel="0" collapsed="false">
      <c r="A25" s="12"/>
      <c r="B25" s="0" t="s">
        <v>56</v>
      </c>
      <c r="C25" s="3" t="n">
        <v>1923</v>
      </c>
      <c r="D25" s="3" t="n">
        <v>2142</v>
      </c>
      <c r="E25" s="3" t="n">
        <v>2070</v>
      </c>
      <c r="F25" s="3" t="n">
        <v>3030</v>
      </c>
      <c r="G25" s="3" t="n">
        <v>2178</v>
      </c>
      <c r="H25" s="3" t="n">
        <v>1525</v>
      </c>
      <c r="I25" s="3" t="n">
        <f aca="false">H25</f>
        <v>1525</v>
      </c>
    </row>
    <row r="26" customFormat="false" ht="15" hidden="false" customHeight="false" outlineLevel="0" collapsed="false">
      <c r="A26" s="12"/>
      <c r="B26" s="0" t="s">
        <v>6</v>
      </c>
      <c r="C26" s="3" t="n">
        <f aca="false">C21+C25-C24</f>
        <v>1057</v>
      </c>
      <c r="D26" s="3" t="n">
        <f aca="false">D21+D25-D24</f>
        <v>1421</v>
      </c>
      <c r="E26" s="3" t="n">
        <f aca="false">E21+E25-E24</f>
        <v>1267</v>
      </c>
      <c r="F26" s="3" t="n">
        <f aca="false">F21+F25-F24</f>
        <v>2254</v>
      </c>
      <c r="G26" s="3" t="n">
        <f aca="false">G21+G25-G24</f>
        <v>1042</v>
      </c>
      <c r="H26" s="3" t="n">
        <f aca="false">H21+H25-H24</f>
        <v>708</v>
      </c>
      <c r="I26" s="3" t="n">
        <f aca="false">SUM(C26:H26)</f>
        <v>7749</v>
      </c>
    </row>
    <row r="27" customFormat="false" ht="15" hidden="false" customHeight="false" outlineLevel="0" collapsed="false">
      <c r="A27" s="12"/>
      <c r="B27" s="0" t="s">
        <v>7</v>
      </c>
      <c r="C27" s="3" t="n">
        <v>1092</v>
      </c>
      <c r="D27" s="3" t="n">
        <v>1432</v>
      </c>
      <c r="E27" s="3" t="n">
        <v>1136</v>
      </c>
      <c r="F27" s="3" t="n">
        <v>1630</v>
      </c>
      <c r="G27" s="3" t="n">
        <v>450</v>
      </c>
      <c r="H27" s="3" t="n">
        <v>146</v>
      </c>
      <c r="I27" s="3" t="n">
        <f aca="false">SUM(C27:H27)</f>
        <v>5886</v>
      </c>
    </row>
    <row r="28" customFormat="false" ht="15" hidden="false" customHeight="false" outlineLevel="0" collapsed="false">
      <c r="A28" s="12"/>
      <c r="B28" s="0" t="s">
        <v>57</v>
      </c>
      <c r="C28" s="14" t="n">
        <f aca="false">C26-C27</f>
        <v>-35</v>
      </c>
      <c r="D28" s="14" t="n">
        <f aca="false">D26-D27</f>
        <v>-11</v>
      </c>
      <c r="E28" s="14" t="n">
        <f aca="false">E26-E27</f>
        <v>131</v>
      </c>
      <c r="F28" s="14" t="n">
        <f aca="false">F26-F27</f>
        <v>624</v>
      </c>
      <c r="G28" s="14" t="n">
        <f aca="false">G26-G27</f>
        <v>592</v>
      </c>
      <c r="H28" s="14" t="n">
        <f aca="false">H26-H27</f>
        <v>562</v>
      </c>
      <c r="I28" s="3" t="n">
        <f aca="false">SUM(C28:H28)</f>
        <v>1863</v>
      </c>
    </row>
    <row r="29" customFormat="false" ht="15" hidden="false" customHeight="false" outlineLevel="0" collapsed="false">
      <c r="A29" s="12" t="s">
        <v>27</v>
      </c>
      <c r="B29" s="0" t="s">
        <v>2</v>
      </c>
      <c r="C29" s="3" t="n">
        <v>607</v>
      </c>
      <c r="D29" s="3" t="n">
        <v>846</v>
      </c>
      <c r="E29" s="3" t="n">
        <v>991</v>
      </c>
      <c r="F29" s="3" t="n">
        <v>1194</v>
      </c>
      <c r="G29" s="3" t="n">
        <v>1671</v>
      </c>
      <c r="H29" s="3" t="n">
        <v>1127</v>
      </c>
      <c r="I29" s="3" t="n">
        <f aca="false">SUM(C29:H29)</f>
        <v>6436</v>
      </c>
    </row>
    <row r="30" customFormat="false" ht="15" hidden="false" customHeight="false" outlineLevel="0" collapsed="false">
      <c r="A30" s="12"/>
      <c r="B30" s="0" t="s">
        <v>53</v>
      </c>
      <c r="C30" s="13" t="n">
        <v>539</v>
      </c>
      <c r="D30" s="13" t="n">
        <v>690</v>
      </c>
      <c r="E30" s="13" t="n">
        <v>697</v>
      </c>
      <c r="F30" s="3"/>
      <c r="G30" s="3"/>
      <c r="H30" s="3"/>
      <c r="I30" s="3" t="n">
        <f aca="false">SUM(C30:H30)</f>
        <v>1926</v>
      </c>
    </row>
    <row r="31" customFormat="false" ht="15" hidden="false" customHeight="false" outlineLevel="0" collapsed="false">
      <c r="A31" s="12"/>
      <c r="B31" s="0" t="s">
        <v>54</v>
      </c>
      <c r="C31" s="4" t="n">
        <f aca="false">IF(C30="","",C30/C29-1)</f>
        <v>-0.112026359143328</v>
      </c>
      <c r="D31" s="4" t="n">
        <f aca="false">IF(D30="","",D30/D29-1)</f>
        <v>-0.184397163120567</v>
      </c>
      <c r="E31" s="4" t="n">
        <f aca="false">IF(E30="","",E30/E29-1)</f>
        <v>-0.296670030272452</v>
      </c>
      <c r="F31" s="4" t="str">
        <f aca="false">IF(F30="","",F30/F29-1)</f>
        <v/>
      </c>
      <c r="G31" s="4" t="str">
        <f aca="false">IF(G30="","",G30/G29-1)</f>
        <v/>
      </c>
      <c r="H31" s="4" t="str">
        <f aca="false">IF(H30="","",H30/H29-1)</f>
        <v/>
      </c>
      <c r="I31" s="4" t="n">
        <f aca="false">IF(SUM(C30:E30)=0,"",SUM(C30:E30)/SUM(C29:E29)-1)</f>
        <v>-0.211947626841244</v>
      </c>
    </row>
    <row r="32" customFormat="false" ht="15" hidden="false" customHeight="false" outlineLevel="0" collapsed="false">
      <c r="A32" s="12"/>
      <c r="B32" s="0" t="s">
        <v>55</v>
      </c>
      <c r="C32" s="3" t="n">
        <v>1170</v>
      </c>
      <c r="D32" s="3" t="n">
        <f aca="false">C33</f>
        <v>1861</v>
      </c>
      <c r="E32" s="3" t="n">
        <f aca="false">D33</f>
        <v>2180</v>
      </c>
      <c r="F32" s="3" t="n">
        <f aca="false">E33</f>
        <v>2627</v>
      </c>
      <c r="G32" s="3" t="n">
        <f aca="false">F33</f>
        <v>3676</v>
      </c>
      <c r="H32" s="3" t="n">
        <f aca="false">G33</f>
        <v>2479</v>
      </c>
      <c r="I32" s="3" t="n">
        <f aca="false">C32</f>
        <v>1170</v>
      </c>
    </row>
    <row r="33" customFormat="false" ht="15" hidden="false" customHeight="false" outlineLevel="0" collapsed="false">
      <c r="A33" s="12"/>
      <c r="B33" s="0" t="s">
        <v>56</v>
      </c>
      <c r="C33" s="3" t="n">
        <v>1861</v>
      </c>
      <c r="D33" s="3" t="n">
        <v>2180</v>
      </c>
      <c r="E33" s="3" t="n">
        <v>2627</v>
      </c>
      <c r="F33" s="3" t="n">
        <v>3676</v>
      </c>
      <c r="G33" s="3" t="n">
        <v>2479</v>
      </c>
      <c r="H33" s="3" t="n">
        <v>1736</v>
      </c>
      <c r="I33" s="3" t="n">
        <f aca="false">H33</f>
        <v>1736</v>
      </c>
    </row>
    <row r="34" customFormat="false" ht="15" hidden="false" customHeight="false" outlineLevel="0" collapsed="false">
      <c r="A34" s="12"/>
      <c r="B34" s="0" t="s">
        <v>6</v>
      </c>
      <c r="C34" s="3" t="n">
        <f aca="false">C29+C33-C32</f>
        <v>1298</v>
      </c>
      <c r="D34" s="3" t="n">
        <f aca="false">D29+D33-D32</f>
        <v>1165</v>
      </c>
      <c r="E34" s="3" t="n">
        <f aca="false">E29+E33-E32</f>
        <v>1438</v>
      </c>
      <c r="F34" s="3" t="n">
        <f aca="false">F29+F33-F32</f>
        <v>2243</v>
      </c>
      <c r="G34" s="3" t="n">
        <f aca="false">G29+G33-G32</f>
        <v>474</v>
      </c>
      <c r="H34" s="3" t="n">
        <f aca="false">H29+H33-H32</f>
        <v>384</v>
      </c>
      <c r="I34" s="3" t="n">
        <f aca="false">SUM(C34:H34)</f>
        <v>7002</v>
      </c>
    </row>
    <row r="35" customFormat="false" ht="15" hidden="false" customHeight="false" outlineLevel="0" collapsed="false">
      <c r="A35" s="12"/>
      <c r="B35" s="0" t="s">
        <v>7</v>
      </c>
      <c r="C35" s="3" t="n">
        <v>1341</v>
      </c>
      <c r="D35" s="3" t="n">
        <v>1219</v>
      </c>
      <c r="E35" s="3" t="n">
        <v>1337</v>
      </c>
      <c r="F35" s="3" t="n">
        <v>1630</v>
      </c>
      <c r="G35" s="3" t="n">
        <v>221</v>
      </c>
      <c r="H35" s="3" t="n">
        <v>80</v>
      </c>
      <c r="I35" s="3" t="n">
        <f aca="false">SUM(C35:H35)</f>
        <v>5828</v>
      </c>
    </row>
    <row r="36" customFormat="false" ht="15" hidden="false" customHeight="false" outlineLevel="0" collapsed="false">
      <c r="A36" s="12"/>
      <c r="B36" s="0" t="s">
        <v>57</v>
      </c>
      <c r="C36" s="14" t="n">
        <f aca="false">C34-C35</f>
        <v>-43</v>
      </c>
      <c r="D36" s="14" t="n">
        <f aca="false">D34-D35</f>
        <v>-54</v>
      </c>
      <c r="E36" s="14" t="n">
        <f aca="false">E34-E35</f>
        <v>101</v>
      </c>
      <c r="F36" s="14" t="n">
        <f aca="false">F34-F35</f>
        <v>613</v>
      </c>
      <c r="G36" s="14" t="n">
        <f aca="false">G34-G35</f>
        <v>253</v>
      </c>
      <c r="H36" s="14" t="n">
        <f aca="false">H34-H35</f>
        <v>304</v>
      </c>
      <c r="I36" s="3" t="n">
        <f aca="false">SUM(C36:H36)</f>
        <v>1174</v>
      </c>
    </row>
    <row r="37" customFormat="false" ht="15" hidden="false" customHeight="false" outlineLevel="0" collapsed="false">
      <c r="A37" s="12" t="s">
        <v>28</v>
      </c>
      <c r="B37" s="0" t="s">
        <v>2</v>
      </c>
      <c r="C37" s="3" t="n">
        <v>710</v>
      </c>
      <c r="D37" s="3" t="n">
        <v>799</v>
      </c>
      <c r="E37" s="3" t="n">
        <v>1041</v>
      </c>
      <c r="F37" s="3" t="n">
        <v>1314</v>
      </c>
      <c r="G37" s="3" t="n">
        <v>1774</v>
      </c>
      <c r="H37" s="3" t="n">
        <v>1200</v>
      </c>
      <c r="I37" s="3" t="n">
        <f aca="false">SUM(C37:H37)</f>
        <v>6838</v>
      </c>
    </row>
    <row r="38" customFormat="false" ht="15" hidden="false" customHeight="false" outlineLevel="0" collapsed="false">
      <c r="A38" s="12"/>
      <c r="B38" s="0" t="s">
        <v>53</v>
      </c>
      <c r="C38" s="13" t="n">
        <v>632</v>
      </c>
      <c r="D38" s="13" t="n">
        <v>752</v>
      </c>
      <c r="E38" s="13" t="n">
        <v>833</v>
      </c>
      <c r="F38" s="3"/>
      <c r="G38" s="3"/>
      <c r="H38" s="3"/>
      <c r="I38" s="3" t="n">
        <f aca="false">SUM(C38:H38)</f>
        <v>2217</v>
      </c>
    </row>
    <row r="39" customFormat="false" ht="15" hidden="false" customHeight="false" outlineLevel="0" collapsed="false">
      <c r="A39" s="12"/>
      <c r="B39" s="0" t="s">
        <v>54</v>
      </c>
      <c r="C39" s="4" t="n">
        <f aca="false">IF(C38="","",C38/C37-1)</f>
        <v>-0.109859154929577</v>
      </c>
      <c r="D39" s="4" t="n">
        <f aca="false">IF(D38="","",D38/D37-1)</f>
        <v>-0.0588235294117647</v>
      </c>
      <c r="E39" s="4" t="n">
        <f aca="false">IF(E38="","",E38/E37-1)</f>
        <v>-0.199807877041306</v>
      </c>
      <c r="F39" s="4" t="str">
        <f aca="false">IF(F38="","",F38/F37-1)</f>
        <v/>
      </c>
      <c r="G39" s="4" t="str">
        <f aca="false">IF(G38="","",G38/G37-1)</f>
        <v/>
      </c>
      <c r="H39" s="4" t="str">
        <f aca="false">IF(H38="","",H38/H37-1)</f>
        <v/>
      </c>
      <c r="I39" s="4" t="n">
        <f aca="false">IF(SUM(C38:E38)=0,"",SUM(C38:E38)/SUM(C37:E37)-1)</f>
        <v>-0.130588235294118</v>
      </c>
    </row>
    <row r="40" customFormat="false" ht="15" hidden="false" customHeight="false" outlineLevel="0" collapsed="false">
      <c r="A40" s="12"/>
      <c r="B40" s="0" t="s">
        <v>55</v>
      </c>
      <c r="C40" s="3" t="n">
        <v>1244</v>
      </c>
      <c r="D40" s="3" t="n">
        <f aca="false">C41</f>
        <v>1438</v>
      </c>
      <c r="E40" s="3" t="n">
        <f aca="false">D41</f>
        <v>1874</v>
      </c>
      <c r="F40" s="3" t="n">
        <f aca="false">E41</f>
        <v>2365</v>
      </c>
      <c r="G40" s="3" t="n">
        <f aca="false">F41</f>
        <v>3193</v>
      </c>
      <c r="H40" s="3" t="n">
        <f aca="false">G41</f>
        <v>2160</v>
      </c>
      <c r="I40" s="3" t="n">
        <f aca="false">C40</f>
        <v>1244</v>
      </c>
    </row>
    <row r="41" customFormat="false" ht="15" hidden="false" customHeight="false" outlineLevel="0" collapsed="false">
      <c r="A41" s="12"/>
      <c r="B41" s="0" t="s">
        <v>56</v>
      </c>
      <c r="C41" s="3" t="n">
        <v>1438</v>
      </c>
      <c r="D41" s="3" t="n">
        <v>1874</v>
      </c>
      <c r="E41" s="3" t="n">
        <v>2365</v>
      </c>
      <c r="F41" s="3" t="n">
        <v>3193</v>
      </c>
      <c r="G41" s="3" t="n">
        <v>2160</v>
      </c>
      <c r="H41" s="3" t="n">
        <v>1512</v>
      </c>
      <c r="I41" s="3" t="n">
        <f aca="false">H41</f>
        <v>1512</v>
      </c>
    </row>
    <row r="42" customFormat="false" ht="15" hidden="false" customHeight="false" outlineLevel="0" collapsed="false">
      <c r="A42" s="12"/>
      <c r="B42" s="0" t="s">
        <v>6</v>
      </c>
      <c r="C42" s="3" t="n">
        <f aca="false">C37+C41-C40</f>
        <v>904</v>
      </c>
      <c r="D42" s="3" t="n">
        <f aca="false">D37+D41-D40</f>
        <v>1235</v>
      </c>
      <c r="E42" s="3" t="n">
        <f aca="false">E37+E41-E40</f>
        <v>1532</v>
      </c>
      <c r="F42" s="3" t="n">
        <f aca="false">F37+F41-F40</f>
        <v>2142</v>
      </c>
      <c r="G42" s="3" t="n">
        <f aca="false">G37+G41-G40</f>
        <v>741</v>
      </c>
      <c r="H42" s="3" t="n">
        <f aca="false">H37+H41-H40</f>
        <v>552</v>
      </c>
      <c r="I42" s="3" t="n">
        <f aca="false">SUM(C42:H42)</f>
        <v>7106</v>
      </c>
    </row>
    <row r="43" customFormat="false" ht="15" hidden="false" customHeight="false" outlineLevel="0" collapsed="false">
      <c r="A43" s="12"/>
      <c r="B43" s="0" t="s">
        <v>7</v>
      </c>
      <c r="C43" s="3" t="n">
        <v>883</v>
      </c>
      <c r="D43" s="3" t="n">
        <v>1196</v>
      </c>
      <c r="E43" s="3" t="n">
        <v>1345</v>
      </c>
      <c r="F43" s="3" t="n">
        <v>1452</v>
      </c>
      <c r="G43" s="3" t="n">
        <v>321</v>
      </c>
      <c r="H43" s="3" t="n">
        <v>106</v>
      </c>
      <c r="I43" s="3" t="n">
        <f aca="false">SUM(C43:H43)</f>
        <v>5303</v>
      </c>
    </row>
    <row r="44" customFormat="false" ht="15" hidden="false" customHeight="false" outlineLevel="0" collapsed="false">
      <c r="A44" s="12"/>
      <c r="B44" s="0" t="s">
        <v>57</v>
      </c>
      <c r="C44" s="14" t="n">
        <f aca="false">C42-C43</f>
        <v>21</v>
      </c>
      <c r="D44" s="14" t="n">
        <f aca="false">D42-D43</f>
        <v>39</v>
      </c>
      <c r="E44" s="14" t="n">
        <f aca="false">E42-E43</f>
        <v>187</v>
      </c>
      <c r="F44" s="14" t="n">
        <f aca="false">F42-F43</f>
        <v>690</v>
      </c>
      <c r="G44" s="14" t="n">
        <f aca="false">G42-G43</f>
        <v>420</v>
      </c>
      <c r="H44" s="14" t="n">
        <f aca="false">H42-H43</f>
        <v>446</v>
      </c>
      <c r="I44" s="3" t="n">
        <f aca="false">SUM(C44:H44)</f>
        <v>1803</v>
      </c>
    </row>
    <row r="45" customFormat="false" ht="15" hidden="false" customHeight="false" outlineLevel="0" collapsed="false">
      <c r="A45" s="12" t="s">
        <v>29</v>
      </c>
      <c r="B45" s="0" t="s">
        <v>2</v>
      </c>
      <c r="C45" s="3" t="n">
        <v>25</v>
      </c>
      <c r="D45" s="3" t="n">
        <v>36</v>
      </c>
      <c r="E45" s="3" t="n">
        <v>91</v>
      </c>
      <c r="F45" s="3" t="n">
        <v>95</v>
      </c>
      <c r="G45" s="3" t="n">
        <v>135</v>
      </c>
      <c r="H45" s="3" t="n">
        <v>82</v>
      </c>
      <c r="I45" s="3" t="n">
        <f aca="false">SUM(C45:H45)</f>
        <v>464</v>
      </c>
    </row>
    <row r="46" customFormat="false" ht="15" hidden="false" customHeight="false" outlineLevel="0" collapsed="false">
      <c r="A46" s="12"/>
      <c r="B46" s="0" t="s">
        <v>53</v>
      </c>
      <c r="C46" s="13" t="n">
        <v>15</v>
      </c>
      <c r="D46" s="13" t="n">
        <v>30</v>
      </c>
      <c r="E46" s="13" t="n">
        <v>51</v>
      </c>
      <c r="F46" s="3"/>
      <c r="G46" s="3"/>
      <c r="H46" s="3"/>
      <c r="I46" s="3" t="n">
        <f aca="false">SUM(C46:H46)</f>
        <v>96</v>
      </c>
    </row>
    <row r="47" customFormat="false" ht="15" hidden="false" customHeight="false" outlineLevel="0" collapsed="false">
      <c r="A47" s="12"/>
      <c r="B47" s="0" t="s">
        <v>54</v>
      </c>
      <c r="C47" s="4" t="n">
        <f aca="false">IF(C46="","",C46/C45-1)</f>
        <v>-0.4</v>
      </c>
      <c r="D47" s="4" t="n">
        <f aca="false">IF(D46="","",D46/D45-1)</f>
        <v>-0.166666666666667</v>
      </c>
      <c r="E47" s="4" t="n">
        <f aca="false">IF(E46="","",E46/E45-1)</f>
        <v>-0.43956043956044</v>
      </c>
      <c r="F47" s="4" t="str">
        <f aca="false">IF(F46="","",F46/F45-1)</f>
        <v/>
      </c>
      <c r="G47" s="4" t="str">
        <f aca="false">IF(G46="","",G46/G45-1)</f>
        <v/>
      </c>
      <c r="H47" s="4" t="str">
        <f aca="false">IF(H46="","",H46/H45-1)</f>
        <v/>
      </c>
      <c r="I47" s="4" t="n">
        <f aca="false">IF(SUM(C46:E46)=0,"",SUM(C46:E46)/SUM(C45:E45)-1)</f>
        <v>-0.368421052631579</v>
      </c>
    </row>
    <row r="48" customFormat="false" ht="15" hidden="false" customHeight="false" outlineLevel="0" collapsed="false">
      <c r="A48" s="12"/>
      <c r="B48" s="0" t="s">
        <v>55</v>
      </c>
      <c r="C48" s="3" t="n">
        <v>63</v>
      </c>
      <c r="D48" s="3" t="n">
        <f aca="false">C49</f>
        <v>90</v>
      </c>
      <c r="E48" s="3" t="n">
        <f aca="false">D49</f>
        <v>228</v>
      </c>
      <c r="F48" s="3" t="n">
        <f aca="false">E49</f>
        <v>238</v>
      </c>
      <c r="G48" s="3" t="n">
        <f aca="false">F49</f>
        <v>338</v>
      </c>
      <c r="H48" s="3" t="n">
        <f aca="false">G49</f>
        <v>205</v>
      </c>
      <c r="I48" s="3" t="n">
        <f aca="false">C48</f>
        <v>63</v>
      </c>
    </row>
    <row r="49" customFormat="false" ht="15" hidden="false" customHeight="false" outlineLevel="0" collapsed="false">
      <c r="A49" s="12"/>
      <c r="B49" s="0" t="s">
        <v>56</v>
      </c>
      <c r="C49" s="3" t="n">
        <v>90</v>
      </c>
      <c r="D49" s="3" t="n">
        <v>228</v>
      </c>
      <c r="E49" s="3" t="n">
        <v>238</v>
      </c>
      <c r="F49" s="3" t="n">
        <v>338</v>
      </c>
      <c r="G49" s="3" t="n">
        <v>205</v>
      </c>
      <c r="H49" s="3" t="n">
        <v>142</v>
      </c>
      <c r="I49" s="3" t="n">
        <f aca="false">H49</f>
        <v>142</v>
      </c>
    </row>
    <row r="50" customFormat="false" ht="15" hidden="false" customHeight="false" outlineLevel="0" collapsed="false">
      <c r="A50" s="12"/>
      <c r="B50" s="0" t="s">
        <v>6</v>
      </c>
      <c r="C50" s="3" t="n">
        <f aca="false">C45+C49-C48</f>
        <v>52</v>
      </c>
      <c r="D50" s="3" t="n">
        <f aca="false">D45+D49-D48</f>
        <v>174</v>
      </c>
      <c r="E50" s="3" t="n">
        <f aca="false">E45+E49-E48</f>
        <v>101</v>
      </c>
      <c r="F50" s="3" t="n">
        <f aca="false">F45+F49-F48</f>
        <v>195</v>
      </c>
      <c r="G50" s="3" t="n">
        <f aca="false">G45+G49-G48</f>
        <v>2</v>
      </c>
      <c r="H50" s="3" t="n">
        <f aca="false">H45+H49-H48</f>
        <v>19</v>
      </c>
      <c r="I50" s="3" t="n">
        <f aca="false">SUM(C50:H50)</f>
        <v>543</v>
      </c>
    </row>
    <row r="51" customFormat="false" ht="15" hidden="false" customHeight="false" outlineLevel="0" collapsed="false">
      <c r="A51" s="12"/>
      <c r="B51" s="0" t="s">
        <v>7</v>
      </c>
      <c r="C51" s="3" t="n">
        <v>53</v>
      </c>
      <c r="D51" s="3" t="n">
        <v>169</v>
      </c>
      <c r="E51" s="3" t="n">
        <v>97</v>
      </c>
      <c r="F51" s="3" t="n">
        <v>142</v>
      </c>
      <c r="G51" s="3" t="n">
        <v>1</v>
      </c>
      <c r="H51" s="3" t="n">
        <v>4</v>
      </c>
      <c r="I51" s="3" t="n">
        <f aca="false">SUM(C51:H51)</f>
        <v>466</v>
      </c>
    </row>
    <row r="52" customFormat="false" ht="15" hidden="false" customHeight="false" outlineLevel="0" collapsed="false">
      <c r="A52" s="12"/>
      <c r="B52" s="0" t="s">
        <v>57</v>
      </c>
      <c r="C52" s="14" t="n">
        <f aca="false">C50-C51</f>
        <v>-1</v>
      </c>
      <c r="D52" s="14" t="n">
        <f aca="false">D50-D51</f>
        <v>5</v>
      </c>
      <c r="E52" s="14" t="n">
        <f aca="false">E50-E51</f>
        <v>4</v>
      </c>
      <c r="F52" s="14" t="n">
        <f aca="false">F50-F51</f>
        <v>53</v>
      </c>
      <c r="G52" s="14" t="n">
        <f aca="false">G50-G51</f>
        <v>1</v>
      </c>
      <c r="H52" s="14" t="n">
        <f aca="false">H50-H51</f>
        <v>15</v>
      </c>
      <c r="I52" s="3" t="n">
        <f aca="false">SUM(C52:H52)</f>
        <v>77</v>
      </c>
    </row>
    <row r="53" customFormat="false" ht="15" hidden="false" customHeight="false" outlineLevel="0" collapsed="false">
      <c r="A53" s="15" t="s">
        <v>62</v>
      </c>
      <c r="B53" s="16" t="s">
        <v>2</v>
      </c>
      <c r="C53" s="17" t="n">
        <f aca="false">SUM(C5,C13,C21,C29,C37,C45)</f>
        <v>10279</v>
      </c>
      <c r="D53" s="17" t="n">
        <f aca="false">SUM(D5,D13,D21,D29,D37,D45)</f>
        <v>14449</v>
      </c>
      <c r="E53" s="17" t="n">
        <f aca="false">SUM(E5,E13,E21,E29,E37,E45)</f>
        <v>20294</v>
      </c>
      <c r="F53" s="17" t="n">
        <f aca="false">SUM(F5,F13,F21,F29,F37,F45)</f>
        <v>27409</v>
      </c>
      <c r="G53" s="17" t="n">
        <f aca="false">SUM(G5,G13,G21,G29,G37,G45)</f>
        <v>38273</v>
      </c>
      <c r="H53" s="17" t="n">
        <f aca="false">SUM(H5,H13,H21,H29,H37,H45)</f>
        <v>25839</v>
      </c>
      <c r="I53" s="17" t="n">
        <f aca="false">SUM(I5,I13,I21,I29,I37,I45)</f>
        <v>136543</v>
      </c>
    </row>
    <row r="54" customFormat="false" ht="15" hidden="false" customHeight="false" outlineLevel="0" collapsed="false">
      <c r="A54" s="15"/>
      <c r="B54" s="16" t="s">
        <v>53</v>
      </c>
      <c r="C54" s="17" t="n">
        <f aca="false">SUM(C6,C14,C22,C30,C38,C46)</f>
        <v>9328</v>
      </c>
      <c r="D54" s="17" t="n">
        <f aca="false">SUM(D6,D14,D22,D30,D38,D46)</f>
        <v>14629</v>
      </c>
      <c r="E54" s="17" t="n">
        <f aca="false">SUM(E6,E14,E22,E30,E38,E46)</f>
        <v>15881</v>
      </c>
      <c r="F54" s="17" t="n">
        <f aca="false">SUM(F6,F14,F22,F30,F38,F46)</f>
        <v>0</v>
      </c>
      <c r="G54" s="17" t="n">
        <f aca="false">SUM(G6,G14,G22,G30,G38,G46)</f>
        <v>0</v>
      </c>
      <c r="H54" s="17" t="n">
        <f aca="false">SUM(H6,H14,H22,H30,H38,H46)</f>
        <v>0</v>
      </c>
      <c r="I54" s="17" t="n">
        <f aca="false">SUM(I6,I14,I22,I30,I38,I46)</f>
        <v>39838</v>
      </c>
    </row>
    <row r="55" customFormat="false" ht="15" hidden="false" customHeight="false" outlineLevel="0" collapsed="false">
      <c r="A55" s="15"/>
      <c r="B55" s="16" t="s">
        <v>54</v>
      </c>
      <c r="C55" s="18" t="n">
        <f aca="false">IF(C54=0,"",C54/C53-1)</f>
        <v>-0.0925187275026753</v>
      </c>
      <c r="D55" s="18" t="n">
        <f aca="false">IF(D54=0,"",D54/D53-1)</f>
        <v>0.0124576095231503</v>
      </c>
      <c r="E55" s="18" t="n">
        <f aca="false">IF(E54=0,"",E54/E53-1)</f>
        <v>-0.217453434512664</v>
      </c>
      <c r="F55" s="18" t="str">
        <f aca="false">IF(F54=0,"",F54/F53-1)</f>
        <v/>
      </c>
      <c r="G55" s="18" t="str">
        <f aca="false">IF(G54=0,"",G54/G53-1)</f>
        <v/>
      </c>
      <c r="H55" s="18" t="str">
        <f aca="false">IF(H54=0,"",H54/H53-1)</f>
        <v/>
      </c>
      <c r="I55" s="18" t="n">
        <f aca="false">IF(I54=0,"",I54/I53-1)</f>
        <v>-0.708238430384568</v>
      </c>
    </row>
    <row r="56" customFormat="false" ht="15" hidden="false" customHeight="false" outlineLevel="0" collapsed="false">
      <c r="A56" s="15"/>
      <c r="B56" s="16" t="s">
        <v>55</v>
      </c>
      <c r="C56" s="17" t="n">
        <f aca="false">SUM(C8,C16,C24,C32,C40,C48)</f>
        <v>22311</v>
      </c>
      <c r="D56" s="17" t="n">
        <f aca="false">SUM(D8,D16,D24,D32,D40,D48)</f>
        <v>32426</v>
      </c>
      <c r="E56" s="17" t="n">
        <f aca="false">SUM(E8,E16,E24,E32,E40,E48)</f>
        <v>46041</v>
      </c>
      <c r="F56" s="17" t="n">
        <f aca="false">SUM(F8,F16,F24,F32,F40,F48)</f>
        <v>62895</v>
      </c>
      <c r="G56" s="17" t="n">
        <f aca="false">SUM(G8,G16,G24,G32,G40,G48)</f>
        <v>87829</v>
      </c>
      <c r="H56" s="17" t="n">
        <f aca="false">SUM(H8,H16,H24,H32,H40,H48)</f>
        <v>59132</v>
      </c>
      <c r="I56" s="17" t="n">
        <f aca="false">SUM(I8,I16,I24,I32,I40,I48)</f>
        <v>22311</v>
      </c>
    </row>
    <row r="57" customFormat="false" ht="15" hidden="false" customHeight="false" outlineLevel="0" collapsed="false">
      <c r="A57" s="15"/>
      <c r="B57" s="16" t="s">
        <v>56</v>
      </c>
      <c r="C57" s="17" t="n">
        <f aca="false">SUM(C9,C17,C25,C33,C41,C49)</f>
        <v>32426</v>
      </c>
      <c r="D57" s="17" t="n">
        <f aca="false">SUM(D9,D17,D25,D33,D41,D49)</f>
        <v>46041</v>
      </c>
      <c r="E57" s="17" t="n">
        <f aca="false">SUM(E9,E17,E25,E33,E41,E49)</f>
        <v>62895</v>
      </c>
      <c r="F57" s="17" t="n">
        <f aca="false">SUM(F9,F17,F25,F33,F41,F49)</f>
        <v>87829</v>
      </c>
      <c r="G57" s="17" t="n">
        <f aca="false">SUM(G9,G17,G25,G33,G41,G49)</f>
        <v>59132</v>
      </c>
      <c r="H57" s="17" t="n">
        <f aca="false">SUM(H9,H17,H25,H33,H41,H49)</f>
        <v>41394</v>
      </c>
      <c r="I57" s="17" t="n">
        <f aca="false">SUM(I9,I17,I25,I33,I41,I49)</f>
        <v>41394</v>
      </c>
    </row>
    <row r="58" customFormat="false" ht="15" hidden="false" customHeight="false" outlineLevel="0" collapsed="false">
      <c r="A58" s="15"/>
      <c r="B58" s="16" t="s">
        <v>6</v>
      </c>
      <c r="C58" s="17" t="n">
        <f aca="false">SUM(C10,C18,C26,C34,C42,C50)</f>
        <v>20394</v>
      </c>
      <c r="D58" s="17" t="n">
        <f aca="false">SUM(D10,D18,D26,D34,D42,D50)</f>
        <v>28064</v>
      </c>
      <c r="E58" s="17" t="n">
        <f aca="false">SUM(E10,E18,E26,E34,E42,E50)</f>
        <v>37148</v>
      </c>
      <c r="F58" s="17" t="n">
        <f aca="false">SUM(F10,F18,F26,F34,F42,F50)</f>
        <v>52343</v>
      </c>
      <c r="G58" s="17" t="n">
        <f aca="false">SUM(G10,G18,G26,G34,G42,G50)</f>
        <v>9576</v>
      </c>
      <c r="H58" s="17" t="n">
        <f aca="false">SUM(H10,H18,H26,H34,H42,H50)</f>
        <v>8101</v>
      </c>
      <c r="I58" s="17" t="n">
        <f aca="false">SUM(I10,I18,I26,I34,I42,I50)</f>
        <v>155626</v>
      </c>
    </row>
    <row r="59" customFormat="false" ht="15" hidden="false" customHeight="false" outlineLevel="0" collapsed="false">
      <c r="A59" s="15"/>
      <c r="B59" s="16" t="s">
        <v>7</v>
      </c>
      <c r="C59" s="17" t="n">
        <f aca="false">SUM(C11,C19,C27,C35,C43,C51)</f>
        <v>19919</v>
      </c>
      <c r="D59" s="17" t="n">
        <f aca="false">SUM(D11,D19,D27,D35,D43,D51)</f>
        <v>27036</v>
      </c>
      <c r="E59" s="17" t="n">
        <f aca="false">SUM(E11,E19,E27,E35,E43,E51)</f>
        <v>35357</v>
      </c>
      <c r="F59" s="17" t="n">
        <f aca="false">SUM(F11,F19,F27,F35,F43,F51)</f>
        <v>37499</v>
      </c>
      <c r="G59" s="17" t="n">
        <f aca="false">SUM(G11,G19,G27,G35,G43,G51)</f>
        <v>4289</v>
      </c>
      <c r="H59" s="17" t="n">
        <f aca="false">SUM(H11,H19,H27,H35,H43,H51)</f>
        <v>1614</v>
      </c>
      <c r="I59" s="17" t="n">
        <f aca="false">SUM(I11,I19,I27,I35,I43,I51)</f>
        <v>125714</v>
      </c>
    </row>
    <row r="60" customFormat="false" ht="15" hidden="false" customHeight="false" outlineLevel="0" collapsed="false">
      <c r="A60" s="15"/>
      <c r="B60" s="16" t="s">
        <v>57</v>
      </c>
      <c r="C60" s="17" t="n">
        <f aca="false">SUM(C12,C20,C28,C36,C44,C52)</f>
        <v>475</v>
      </c>
      <c r="D60" s="17" t="n">
        <f aca="false">SUM(D12,D20,D28,D36,D44,D52)</f>
        <v>1028</v>
      </c>
      <c r="E60" s="17" t="n">
        <f aca="false">SUM(E12,E20,E28,E36,E44,E52)</f>
        <v>1791</v>
      </c>
      <c r="F60" s="17" t="n">
        <f aca="false">SUM(F12,F20,F28,F36,F44,F52)</f>
        <v>14844</v>
      </c>
      <c r="G60" s="17" t="n">
        <f aca="false">SUM(G12,G20,G28,G36,G44,G52)</f>
        <v>5287</v>
      </c>
      <c r="H60" s="17" t="n">
        <f aca="false">SUM(H12,H20,H28,H36,H44,H52)</f>
        <v>6487</v>
      </c>
      <c r="I60" s="17" t="n">
        <f aca="false">SUM(I12,I20,I28,I36,I44,I52)</f>
        <v>29912</v>
      </c>
    </row>
  </sheetData>
  <mergeCells count="9">
    <mergeCell ref="C3:D3"/>
    <mergeCell ref="E3:G3"/>
    <mergeCell ref="A5:A12"/>
    <mergeCell ref="A13:A20"/>
    <mergeCell ref="A21:A28"/>
    <mergeCell ref="A29:A36"/>
    <mergeCell ref="A37:A44"/>
    <mergeCell ref="A45:A52"/>
    <mergeCell ref="A53:A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false" outlineLevel="0" collapsed="false">
      <c r="A1" s="19" t="s">
        <v>63</v>
      </c>
    </row>
    <row r="2" customFormat="false" ht="15" hidden="false" customHeight="false" outlineLevel="0" collapsed="false">
      <c r="A2" s="0" t="s">
        <v>1</v>
      </c>
      <c r="B2" s="0" t="s">
        <v>21</v>
      </c>
      <c r="C2" s="0" t="s">
        <v>46</v>
      </c>
      <c r="D2" s="0" t="s">
        <v>47</v>
      </c>
      <c r="E2" s="0" t="s">
        <v>48</v>
      </c>
      <c r="F2" s="0" t="s">
        <v>49</v>
      </c>
      <c r="G2" s="0" t="s">
        <v>50</v>
      </c>
      <c r="H2" s="0" t="s">
        <v>51</v>
      </c>
    </row>
    <row r="3" customFormat="false" ht="15" hidden="false" customHeight="false" outlineLevel="0" collapsed="false">
      <c r="A3" s="0" t="s">
        <v>9</v>
      </c>
      <c r="B3" s="0" t="s">
        <v>24</v>
      </c>
      <c r="C3" s="0" t="n">
        <v>5386</v>
      </c>
      <c r="D3" s="0" t="n">
        <v>9640</v>
      </c>
      <c r="E3" s="0" t="n">
        <v>14576</v>
      </c>
      <c r="F3" s="0" t="n">
        <v>20389</v>
      </c>
      <c r="G3" s="0" t="n">
        <v>33462</v>
      </c>
      <c r="H3" s="0" t="n">
        <v>23239</v>
      </c>
    </row>
    <row r="4" customFormat="false" ht="15" hidden="false" customHeight="false" outlineLevel="0" collapsed="false">
      <c r="A4" s="0" t="s">
        <v>9</v>
      </c>
      <c r="B4" s="0" t="s">
        <v>25</v>
      </c>
      <c r="C4" s="0" t="n">
        <v>1454</v>
      </c>
      <c r="D4" s="0" t="n">
        <v>1561</v>
      </c>
      <c r="E4" s="0" t="n">
        <v>1681</v>
      </c>
      <c r="F4" s="0" t="n">
        <v>2417</v>
      </c>
      <c r="G4" s="0" t="n">
        <v>3586</v>
      </c>
      <c r="H4" s="0" t="n">
        <v>2155</v>
      </c>
    </row>
    <row r="5" customFormat="false" ht="15" hidden="false" customHeight="false" outlineLevel="0" collapsed="false">
      <c r="A5" s="0" t="s">
        <v>9</v>
      </c>
      <c r="B5" s="0" t="s">
        <v>26</v>
      </c>
      <c r="C5" s="0" t="n">
        <v>1249</v>
      </c>
      <c r="D5" s="0" t="n">
        <v>1246</v>
      </c>
      <c r="E5" s="0" t="n">
        <v>1108</v>
      </c>
      <c r="F5" s="0" t="n">
        <v>1212</v>
      </c>
      <c r="G5" s="0" t="n">
        <v>1866</v>
      </c>
      <c r="H5" s="0" t="n">
        <v>1475</v>
      </c>
    </row>
    <row r="6" customFormat="false" ht="15" hidden="false" customHeight="false" outlineLevel="0" collapsed="false">
      <c r="A6" s="0" t="s">
        <v>9</v>
      </c>
      <c r="B6" s="0" t="s">
        <v>27</v>
      </c>
      <c r="C6" s="0" t="n">
        <v>520</v>
      </c>
      <c r="D6" s="0" t="n">
        <v>721</v>
      </c>
      <c r="E6" s="0" t="n">
        <v>961</v>
      </c>
      <c r="F6" s="0" t="n">
        <v>1295</v>
      </c>
      <c r="G6" s="0" t="n">
        <v>1936</v>
      </c>
      <c r="H6" s="0" t="n">
        <v>1337</v>
      </c>
    </row>
    <row r="7" customFormat="false" ht="15" hidden="false" customHeight="false" outlineLevel="0" collapsed="false">
      <c r="A7" s="0" t="s">
        <v>9</v>
      </c>
      <c r="B7" s="0" t="s">
        <v>28</v>
      </c>
      <c r="C7" s="0" t="n">
        <v>670</v>
      </c>
      <c r="D7" s="0" t="n">
        <v>879</v>
      </c>
      <c r="E7" s="0" t="n">
        <v>1000</v>
      </c>
      <c r="F7" s="0" t="n">
        <v>1333</v>
      </c>
      <c r="G7" s="0" t="n">
        <v>2464</v>
      </c>
      <c r="H7" s="0" t="n">
        <v>1439</v>
      </c>
    </row>
    <row r="8" customFormat="false" ht="15" hidden="false" customHeight="false" outlineLevel="0" collapsed="false">
      <c r="A8" s="0" t="s">
        <v>9</v>
      </c>
      <c r="B8" s="0" t="s">
        <v>29</v>
      </c>
      <c r="C8" s="0" t="n">
        <v>76</v>
      </c>
      <c r="D8" s="0" t="n">
        <v>90</v>
      </c>
      <c r="E8" s="0" t="n">
        <v>149</v>
      </c>
      <c r="F8" s="0" t="n">
        <v>220</v>
      </c>
      <c r="G8" s="0" t="n">
        <v>594</v>
      </c>
      <c r="H8" s="0" t="n">
        <v>323</v>
      </c>
    </row>
    <row r="9" customFormat="false" ht="15" hidden="false" customHeight="false" outlineLevel="0" collapsed="false">
      <c r="A9" s="0" t="s">
        <v>10</v>
      </c>
      <c r="B9" s="0" t="s">
        <v>24</v>
      </c>
      <c r="C9" s="0" t="n">
        <v>1656</v>
      </c>
      <c r="D9" s="0" t="n">
        <v>2389</v>
      </c>
      <c r="E9" s="0" t="n">
        <v>4053</v>
      </c>
      <c r="F9" s="0" t="n">
        <v>6376</v>
      </c>
      <c r="G9" s="0" t="n">
        <v>9690</v>
      </c>
      <c r="H9" s="0" t="n">
        <v>6458</v>
      </c>
    </row>
    <row r="10" customFormat="false" ht="15" hidden="false" customHeight="false" outlineLevel="0" collapsed="false">
      <c r="A10" s="0" t="s">
        <v>10</v>
      </c>
      <c r="B10" s="0" t="s">
        <v>25</v>
      </c>
      <c r="C10" s="0" t="n">
        <v>281</v>
      </c>
      <c r="D10" s="0" t="n">
        <v>408</v>
      </c>
      <c r="E10" s="0" t="n">
        <v>458</v>
      </c>
      <c r="F10" s="0" t="n">
        <v>476</v>
      </c>
      <c r="G10" s="0" t="n">
        <v>871</v>
      </c>
      <c r="H10" s="0" t="n">
        <v>567</v>
      </c>
    </row>
    <row r="11" customFormat="false" ht="15" hidden="false" customHeight="false" outlineLevel="0" collapsed="false">
      <c r="A11" s="0" t="s">
        <v>10</v>
      </c>
      <c r="B11" s="0" t="s">
        <v>26</v>
      </c>
      <c r="C11" s="0" t="n">
        <v>387</v>
      </c>
      <c r="D11" s="0" t="n">
        <v>374</v>
      </c>
      <c r="E11" s="0" t="n">
        <v>399</v>
      </c>
      <c r="F11" s="0" t="n">
        <v>449</v>
      </c>
      <c r="G11" s="0" t="n">
        <v>513</v>
      </c>
      <c r="H11" s="0" t="n">
        <v>445</v>
      </c>
    </row>
    <row r="12" customFormat="false" ht="15" hidden="false" customHeight="false" outlineLevel="0" collapsed="false">
      <c r="A12" s="0" t="s">
        <v>10</v>
      </c>
      <c r="B12" s="0" t="s">
        <v>27</v>
      </c>
      <c r="C12" s="0" t="n">
        <v>138</v>
      </c>
      <c r="D12" s="0" t="n">
        <v>173</v>
      </c>
      <c r="E12" s="0" t="n">
        <v>246</v>
      </c>
      <c r="F12" s="0" t="n">
        <v>290</v>
      </c>
      <c r="G12" s="0" t="n">
        <v>560</v>
      </c>
      <c r="H12" s="0" t="n">
        <v>344</v>
      </c>
    </row>
    <row r="13" customFormat="false" ht="15" hidden="false" customHeight="false" outlineLevel="0" collapsed="false">
      <c r="A13" s="0" t="s">
        <v>10</v>
      </c>
      <c r="B13" s="0" t="s">
        <v>28</v>
      </c>
      <c r="C13" s="0" t="n">
        <v>167</v>
      </c>
      <c r="D13" s="0" t="n">
        <v>235</v>
      </c>
      <c r="E13" s="0" t="n">
        <v>250</v>
      </c>
      <c r="F13" s="0" t="n">
        <v>358</v>
      </c>
      <c r="G13" s="0" t="n">
        <v>676</v>
      </c>
      <c r="H13" s="0" t="n">
        <v>369</v>
      </c>
    </row>
    <row r="14" customFormat="false" ht="15" hidden="false" customHeight="false" outlineLevel="0" collapsed="false">
      <c r="A14" s="0" t="s">
        <v>10</v>
      </c>
      <c r="B14" s="0" t="s">
        <v>29</v>
      </c>
      <c r="C14" s="0" t="n">
        <v>13</v>
      </c>
      <c r="D14" s="0" t="n">
        <v>15</v>
      </c>
      <c r="E14" s="0" t="n">
        <v>36</v>
      </c>
      <c r="F14" s="0" t="n">
        <v>63</v>
      </c>
      <c r="G14" s="0" t="n">
        <v>147</v>
      </c>
      <c r="H14" s="0" t="n">
        <v>64</v>
      </c>
    </row>
    <row r="15" customFormat="false" ht="15" hidden="false" customHeight="false" outlineLevel="0" collapsed="false">
      <c r="A15" s="0" t="s">
        <v>11</v>
      </c>
      <c r="B15" s="0" t="s">
        <v>24</v>
      </c>
      <c r="C15" s="0" t="n">
        <v>6187</v>
      </c>
      <c r="D15" s="0" t="n">
        <v>10293</v>
      </c>
      <c r="E15" s="0" t="n">
        <v>15957</v>
      </c>
      <c r="F15" s="0" t="n">
        <v>22377</v>
      </c>
      <c r="G15" s="0" t="n">
        <v>30375</v>
      </c>
      <c r="H15" s="0" t="n">
        <v>20309</v>
      </c>
    </row>
    <row r="16" customFormat="false" ht="15" hidden="false" customHeight="false" outlineLevel="0" collapsed="false">
      <c r="A16" s="0" t="s">
        <v>11</v>
      </c>
      <c r="B16" s="0" t="s">
        <v>25</v>
      </c>
      <c r="C16" s="0" t="n">
        <v>1416</v>
      </c>
      <c r="D16" s="0" t="n">
        <v>1668</v>
      </c>
      <c r="E16" s="0" t="n">
        <v>2015</v>
      </c>
      <c r="F16" s="0" t="n">
        <v>2182</v>
      </c>
      <c r="G16" s="0" t="n">
        <v>2749</v>
      </c>
      <c r="H16" s="0" t="n">
        <v>2197</v>
      </c>
    </row>
    <row r="17" customFormat="false" ht="15" hidden="false" customHeight="false" outlineLevel="0" collapsed="false">
      <c r="A17" s="0" t="s">
        <v>11</v>
      </c>
      <c r="B17" s="0" t="s">
        <v>26</v>
      </c>
      <c r="C17" s="0" t="n">
        <v>1276</v>
      </c>
      <c r="D17" s="0" t="n">
        <v>1290</v>
      </c>
      <c r="E17" s="0" t="n">
        <v>1462</v>
      </c>
      <c r="F17" s="0" t="n">
        <v>1381</v>
      </c>
      <c r="G17" s="0" t="n">
        <v>2046</v>
      </c>
      <c r="H17" s="0" t="n">
        <v>1578</v>
      </c>
    </row>
    <row r="18" customFormat="false" ht="15" hidden="false" customHeight="false" outlineLevel="0" collapsed="false">
      <c r="A18" s="0" t="s">
        <v>11</v>
      </c>
      <c r="B18" s="0" t="s">
        <v>27</v>
      </c>
      <c r="C18" s="0" t="n">
        <v>668</v>
      </c>
      <c r="D18" s="0" t="n">
        <v>909</v>
      </c>
      <c r="E18" s="0" t="n">
        <v>1045</v>
      </c>
      <c r="F18" s="0" t="n">
        <v>1121</v>
      </c>
      <c r="G18" s="0" t="n">
        <v>1870</v>
      </c>
      <c r="H18" s="0" t="n">
        <v>1146</v>
      </c>
    </row>
    <row r="19" customFormat="false" ht="15" hidden="false" customHeight="false" outlineLevel="0" collapsed="false">
      <c r="A19" s="0" t="s">
        <v>11</v>
      </c>
      <c r="B19" s="0" t="s">
        <v>28</v>
      </c>
      <c r="C19" s="0" t="n">
        <v>735</v>
      </c>
      <c r="D19" s="0" t="n">
        <v>862</v>
      </c>
      <c r="E19" s="0" t="n">
        <v>1014</v>
      </c>
      <c r="F19" s="0" t="n">
        <v>1246</v>
      </c>
      <c r="G19" s="0" t="n">
        <v>1683</v>
      </c>
      <c r="H19" s="0" t="n">
        <v>1124</v>
      </c>
    </row>
    <row r="20" customFormat="false" ht="15" hidden="false" customHeight="false" outlineLevel="0" collapsed="false">
      <c r="A20" s="0" t="s">
        <v>11</v>
      </c>
      <c r="B20" s="0" t="s">
        <v>29</v>
      </c>
      <c r="C20" s="0" t="n">
        <v>26</v>
      </c>
      <c r="D20" s="0" t="n">
        <v>39</v>
      </c>
      <c r="E20" s="0" t="n">
        <v>93</v>
      </c>
      <c r="F20" s="0" t="n">
        <v>97</v>
      </c>
      <c r="G20" s="0" t="n">
        <v>133</v>
      </c>
      <c r="H20" s="0" t="n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2026-10-22T16:30:29Z</dcterms:created>
  <dc:creator>openpyxl</dc:creator>
  <dc:description/>
  <dc:language>en-US</dc:language>
  <cp:lastModifiedBy/>
  <dcterms:modified xsi:type="dcterms:W3CDTF">2026-10-22T16:30:30Z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